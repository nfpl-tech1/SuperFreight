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Nagarkot\OS AND ALL\SuperFreight\OG DB\"/>
    </mc:Choice>
  </mc:AlternateContent>
  <xr:revisionPtr revIDLastSave="0" documentId="13_ncr:1_{47F63A34-AC31-4569-989C-23D896C66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na" sheetId="1" r:id="rId1"/>
    <sheet name="Thailand" sheetId="2" r:id="rId2"/>
    <sheet name="Malaysia" sheetId="3" r:id="rId3"/>
    <sheet name="USA" sheetId="4" r:id="rId4"/>
    <sheet name="Germany" sheetId="5" r:id="rId5"/>
    <sheet name="France" sheetId="6" r:id="rId6"/>
    <sheet name="Australia" sheetId="7" r:id="rId7"/>
    <sheet name="Japan" sheetId="8" r:id="rId8"/>
    <sheet name="Singapore" sheetId="9" r:id="rId9"/>
    <sheet name="Italy" sheetId="10" r:id="rId10"/>
    <sheet name="Netherland" sheetId="11" r:id="rId11"/>
    <sheet name="Korea" sheetId="12" r:id="rId12"/>
  </sheets>
  <definedNames>
    <definedName name="_xlnm._FilterDatabase" localSheetId="0" hidden="1">China!$A$1:$AE$32</definedName>
  </definedNames>
  <calcPr calcId="191029"/>
</workbook>
</file>

<file path=xl/calcChain.xml><?xml version="1.0" encoding="utf-8"?>
<calcChain xmlns="http://schemas.openxmlformats.org/spreadsheetml/2006/main">
  <c r="B5" i="12" l="1"/>
  <c r="B4" i="12"/>
  <c r="B3" i="12"/>
  <c r="B2" i="12"/>
  <c r="B9" i="11"/>
  <c r="B8" i="11"/>
  <c r="B7" i="11"/>
  <c r="B6" i="11"/>
  <c r="B5" i="11"/>
  <c r="B4" i="11"/>
  <c r="B3" i="11"/>
  <c r="B2" i="11"/>
  <c r="B9" i="10"/>
  <c r="B8" i="10"/>
  <c r="B7" i="10"/>
  <c r="B6" i="10"/>
  <c r="B5" i="10"/>
  <c r="B4" i="10"/>
  <c r="B3" i="10"/>
  <c r="B2" i="10"/>
  <c r="B4" i="9"/>
  <c r="B3" i="9"/>
  <c r="B2" i="9"/>
  <c r="B20" i="8"/>
  <c r="B9" i="8"/>
  <c r="B8" i="8"/>
  <c r="B7" i="8"/>
  <c r="B6" i="8"/>
  <c r="B5" i="8"/>
  <c r="B4" i="8"/>
  <c r="B3" i="8"/>
  <c r="B2" i="8"/>
  <c r="B10" i="7"/>
  <c r="B9" i="7"/>
  <c r="B8" i="7"/>
  <c r="B7" i="7"/>
  <c r="B6" i="7"/>
  <c r="B5" i="7"/>
  <c r="B4" i="7"/>
  <c r="B3" i="7"/>
  <c r="B2" i="7"/>
  <c r="B6" i="6"/>
  <c r="B5" i="6"/>
  <c r="B4" i="6"/>
  <c r="B3" i="6"/>
  <c r="B2" i="6"/>
  <c r="B20" i="5"/>
  <c r="D19" i="5"/>
  <c r="B19" i="5"/>
  <c r="D18" i="5"/>
  <c r="B17" i="5"/>
  <c r="B14" i="5"/>
  <c r="B11" i="5"/>
  <c r="B10" i="5"/>
  <c r="B9" i="5"/>
  <c r="B8" i="5"/>
  <c r="B7" i="5"/>
  <c r="D6" i="5"/>
  <c r="D5" i="5"/>
  <c r="B4" i="5"/>
  <c r="B3" i="5"/>
  <c r="B2" i="5"/>
  <c r="B14" i="4"/>
  <c r="B13" i="4"/>
  <c r="B12" i="4"/>
  <c r="B11" i="4"/>
  <c r="B10" i="4"/>
  <c r="B9" i="4"/>
  <c r="B8" i="4"/>
  <c r="B7" i="4"/>
  <c r="B6" i="4"/>
  <c r="B5" i="4"/>
  <c r="B4" i="4"/>
  <c r="B3" i="4"/>
  <c r="B2" i="4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6" i="1"/>
  <c r="B35" i="1"/>
  <c r="B34" i="1"/>
  <c r="B28" i="1"/>
  <c r="B26" i="1"/>
  <c r="B20" i="1"/>
  <c r="B18" i="1"/>
  <c r="B17" i="1"/>
  <c r="B16" i="1"/>
  <c r="B15" i="1"/>
  <c r="B14" i="1"/>
  <c r="B13" i="1"/>
  <c r="B12" i="1"/>
  <c r="B11" i="1"/>
  <c r="B8" i="1"/>
  <c r="B6" i="1"/>
  <c r="B4" i="1"/>
  <c r="B3" i="1"/>
  <c r="B2" i="1"/>
</calcChain>
</file>

<file path=xl/sharedStrings.xml><?xml version="1.0" encoding="utf-8"?>
<sst xmlns="http://schemas.openxmlformats.org/spreadsheetml/2006/main" count="1318" uniqueCount="718">
  <si>
    <t>COMPANY NAME</t>
  </si>
  <si>
    <t>CODE</t>
  </si>
  <si>
    <t>EMAIL ID 1</t>
  </si>
  <si>
    <t>Contact No.</t>
  </si>
  <si>
    <t>Salutation</t>
  </si>
  <si>
    <t>First Name</t>
  </si>
  <si>
    <t>Surname</t>
  </si>
  <si>
    <t>STATE</t>
  </si>
  <si>
    <t xml:space="preserve">DESIGNATION </t>
  </si>
  <si>
    <t>IATA</t>
  </si>
  <si>
    <t>Sea</t>
  </si>
  <si>
    <t>MODE</t>
  </si>
  <si>
    <t>Project</t>
  </si>
  <si>
    <t>Own Consolidation</t>
  </si>
  <si>
    <t>OwnTransportation</t>
  </si>
  <si>
    <t>Own Warehousing</t>
  </si>
  <si>
    <t>Own Custom Clearance</t>
  </si>
  <si>
    <t>Specialisation (if any)</t>
  </si>
  <si>
    <t>AMASS GLOBAL NETWORK GROUP CO., LTD</t>
  </si>
  <si>
    <t>alexmao.sh@amassfreight.com</t>
  </si>
  <si>
    <t>86 187 4086 5696</t>
  </si>
  <si>
    <t>Alex</t>
  </si>
  <si>
    <t>Mao</t>
  </si>
  <si>
    <t>Shanghai</t>
  </si>
  <si>
    <t>Trade Lane Supervisor</t>
  </si>
  <si>
    <t>No</t>
  </si>
  <si>
    <t>Yes</t>
  </si>
  <si>
    <t xml:space="preserve">Sea </t>
  </si>
  <si>
    <t>CTS FREIGHT</t>
  </si>
  <si>
    <r>
      <rPr>
        <sz val="11"/>
        <color rgb="FF000000"/>
        <rFont val="Calibri"/>
      </rPr>
      <t>ymmia.nj@ctsfreight.com</t>
    </r>
  </si>
  <si>
    <t>Mia</t>
  </si>
  <si>
    <t>Ye</t>
  </si>
  <si>
    <t>Nanjing</t>
  </si>
  <si>
    <t>Overseas Department</t>
  </si>
  <si>
    <t>Shenzhen BA-SHI Yuexin Logistics Development.Co.,LTD.</t>
  </si>
  <si>
    <r>
      <rPr>
        <sz val="11"/>
        <color rgb="FF000000"/>
        <rFont val="Calibri"/>
      </rPr>
      <t>emilychen@yuexinlogistics.com</t>
    </r>
  </si>
  <si>
    <t>86 138 1675 8547</t>
  </si>
  <si>
    <t>Emily</t>
  </si>
  <si>
    <t xml:space="preserve"> chen</t>
  </si>
  <si>
    <t>Shenzhen</t>
  </si>
  <si>
    <t>Sales</t>
  </si>
  <si>
    <t>FORAIR INTERNATIONAL LOGISTICS (SHANGHAI) LIMITED</t>
  </si>
  <si>
    <t>FAC</t>
  </si>
  <si>
    <t>Henry He - FAC &lt;henryhe@facargo.com&gt;</t>
  </si>
  <si>
    <t>86 15160063647</t>
  </si>
  <si>
    <t>Henry</t>
  </si>
  <si>
    <t>He</t>
  </si>
  <si>
    <t xml:space="preserve">Oversea Sales Manager </t>
  </si>
  <si>
    <t xml:space="preserve">Air </t>
  </si>
  <si>
    <t>Everokgroup International Forwarding Co., Ltd</t>
  </si>
  <si>
    <t>charliez_ckg@everokgroup.com</t>
  </si>
  <si>
    <t>86 176 1256 8959</t>
  </si>
  <si>
    <t xml:space="preserve">Charlie </t>
  </si>
  <si>
    <t>Chow</t>
  </si>
  <si>
    <t xml:space="preserve">Customer Service </t>
  </si>
  <si>
    <t>EVE</t>
  </si>
  <si>
    <t>alvinz_tao &lt;alvinz_tao@everokgroup.com&gt;</t>
  </si>
  <si>
    <t>86 532 86670765</t>
  </si>
  <si>
    <t xml:space="preserve">Alvin </t>
  </si>
  <si>
    <t>Zhao</t>
  </si>
  <si>
    <t>Qingdao</t>
  </si>
  <si>
    <t xml:space="preserve">Pricing Specialist </t>
  </si>
  <si>
    <t>BEST SERVICES INT'L FREIGHT LTD.</t>
  </si>
  <si>
    <r>
      <rPr>
        <sz val="11"/>
        <color rgb="FF000000"/>
        <rFont val="Calibri"/>
      </rPr>
      <t>ovs15.sha@bestservices.com.cn</t>
    </r>
  </si>
  <si>
    <t>86 133 0185 5872</t>
  </si>
  <si>
    <t>Eric</t>
  </si>
  <si>
    <t>Zhang</t>
  </si>
  <si>
    <t>Overseas Dept</t>
  </si>
  <si>
    <t>BES</t>
  </si>
  <si>
    <t>ovs11.sha@bestservices.com.cn</t>
  </si>
  <si>
    <t>86-13818563653</t>
  </si>
  <si>
    <t xml:space="preserve">Irene </t>
  </si>
  <si>
    <t>Ma</t>
  </si>
  <si>
    <t xml:space="preserve">Shanghai </t>
  </si>
  <si>
    <t>Overseas Dept. - Air freight</t>
  </si>
  <si>
    <t>Bunny Sun / BSI-WUH &lt;ovs1.wuh@bestservices.com.cn&gt;</t>
  </si>
  <si>
    <t>86-19172472079</t>
  </si>
  <si>
    <t>Bunny</t>
  </si>
  <si>
    <t>Sun</t>
  </si>
  <si>
    <t>Shenzhen JA International Transportation Co.,LTD</t>
  </si>
  <si>
    <t>sales6@jaintrans.com</t>
  </si>
  <si>
    <t>86 151 9653 4417</t>
  </si>
  <si>
    <t xml:space="preserve">Rose </t>
  </si>
  <si>
    <t>Liang</t>
  </si>
  <si>
    <t>Chengdu</t>
  </si>
  <si>
    <t>Sales Representative</t>
  </si>
  <si>
    <t>DMU LOGISTICS CO. LTD</t>
  </si>
  <si>
    <t>janewang@dmu-group.com</t>
  </si>
  <si>
    <t>86 155 4119 5881</t>
  </si>
  <si>
    <t>Jane</t>
  </si>
  <si>
    <t>Wang</t>
  </si>
  <si>
    <t>General Mangager</t>
  </si>
  <si>
    <t>Advance Dynamic Logistics Co., Ltd</t>
  </si>
  <si>
    <r>
      <rPr>
        <sz val="11"/>
        <color theme="1"/>
        <rFont val="Calibri"/>
      </rPr>
      <t>lisa.ma@adynamic-cn.com</t>
    </r>
  </si>
  <si>
    <t>86 135 9023 0614</t>
  </si>
  <si>
    <t>Lisa</t>
  </si>
  <si>
    <t xml:space="preserve"> Ma</t>
  </si>
  <si>
    <t>Sales Manager</t>
  </si>
  <si>
    <t>HT CONTAINER LINE Co.,ltd</t>
  </si>
  <si>
    <t>htwan@htlogscn.com</t>
  </si>
  <si>
    <t>86 574 8713 7271</t>
  </si>
  <si>
    <t>Ms.</t>
  </si>
  <si>
    <t>Wan</t>
  </si>
  <si>
    <t>Ningbo</t>
  </si>
  <si>
    <t>Realhonglee</t>
  </si>
  <si>
    <r>
      <rPr>
        <sz val="11"/>
        <color rgb="FF000000"/>
        <rFont val="Calibri"/>
      </rPr>
      <t>king_zhong@realhonglee.com</t>
    </r>
  </si>
  <si>
    <t>86 158 0074 6997</t>
  </si>
  <si>
    <t>King</t>
  </si>
  <si>
    <t>Zhong</t>
  </si>
  <si>
    <t>Overseas Manager</t>
  </si>
  <si>
    <t xml:space="preserve">Qingdao Leda International Logistics Co.Ltd </t>
  </si>
  <si>
    <t>leda-jean@cnldlogistics.com</t>
  </si>
  <si>
    <t>86 532 8197 8022 850</t>
  </si>
  <si>
    <t>Jean</t>
  </si>
  <si>
    <t xml:space="preserve">Liu </t>
  </si>
  <si>
    <t xml:space="preserve">Qingdao </t>
  </si>
  <si>
    <t xml:space="preserve">Oversea Department </t>
  </si>
  <si>
    <t xml:space="preserve">Shenzhen Longharvest International Logistics Co.Ltd </t>
  </si>
  <si>
    <t>stan@longharvest.com.cn</t>
  </si>
  <si>
    <t>86 136 3297 3356</t>
  </si>
  <si>
    <t xml:space="preserve">Stan </t>
  </si>
  <si>
    <t>Managing Director</t>
  </si>
  <si>
    <t>Shenzhen Harmony Shipping &amp; Forwarding Agent Co., Ltd.</t>
  </si>
  <si>
    <t>zoey.liu@harmony.com.cn</t>
  </si>
  <si>
    <t>86 15919977629</t>
  </si>
  <si>
    <t xml:space="preserve">Zoey </t>
  </si>
  <si>
    <t>Liu</t>
  </si>
  <si>
    <t xml:space="preserve">Shenzhen </t>
  </si>
  <si>
    <t xml:space="preserve"> </t>
  </si>
  <si>
    <t xml:space="preserve">EUGENE Logistics Co Ltd </t>
  </si>
  <si>
    <t>EUG</t>
  </si>
  <si>
    <t>service@eugenelog.com</t>
  </si>
  <si>
    <t>86 19553595107</t>
  </si>
  <si>
    <t>Alan</t>
  </si>
  <si>
    <t xml:space="preserve">Guan </t>
  </si>
  <si>
    <t xml:space="preserve">Overseas Sales </t>
  </si>
  <si>
    <t>NINGBO Y-SHING SUPPLY CHAIN MANAGEMENT CO., LTD</t>
  </si>
  <si>
    <t>guoyuchao@yshing-logistics.com</t>
  </si>
  <si>
    <t>86 19290521097</t>
  </si>
  <si>
    <t>Mark</t>
  </si>
  <si>
    <t xml:space="preserve">Oversea Sales </t>
  </si>
  <si>
    <t>NIN</t>
  </si>
  <si>
    <t>phoebe@yshing-logistics.com</t>
  </si>
  <si>
    <t>86 18661650180</t>
  </si>
  <si>
    <t xml:space="preserve">Phoebe </t>
  </si>
  <si>
    <t>qinhuaxing@yshing-logistics.com</t>
  </si>
  <si>
    <t>86 19978041307</t>
  </si>
  <si>
    <t>Morry</t>
  </si>
  <si>
    <t>Qin</t>
  </si>
  <si>
    <t xml:space="preserve">DSI Logistics Co Ltd </t>
  </si>
  <si>
    <t>DSI</t>
  </si>
  <si>
    <t>KohTian@dsi-log.com</t>
  </si>
  <si>
    <t xml:space="preserve">86 16678633199 </t>
  </si>
  <si>
    <t>Koh</t>
  </si>
  <si>
    <t>Hatakeyama</t>
  </si>
  <si>
    <t xml:space="preserve">Oversea Sales Supervisior </t>
  </si>
  <si>
    <t xml:space="preserve">Highroad International Logistics Co.,Ltd </t>
  </si>
  <si>
    <t>HIG</t>
  </si>
  <si>
    <t>raymond@cnhil.com</t>
  </si>
  <si>
    <t>86 135-0532 2992</t>
  </si>
  <si>
    <t xml:space="preserve">Raymond </t>
  </si>
  <si>
    <t xml:space="preserve">Lee </t>
  </si>
  <si>
    <t xml:space="preserve">Deputy GM </t>
  </si>
  <si>
    <t xml:space="preserve">Able Logistics Shanghai Co Ltd </t>
  </si>
  <si>
    <t>ABL</t>
  </si>
  <si>
    <t>Alina &lt;alina@ablelogistics.cn&gt;</t>
  </si>
  <si>
    <t>Alina</t>
  </si>
  <si>
    <t xml:space="preserve">Sales Manager </t>
  </si>
  <si>
    <t>Gullivanguard Logistics Co.Ltd</t>
  </si>
  <si>
    <t>fabbyjin.sha@gullivanguard.com</t>
  </si>
  <si>
    <t>86 136 6189 9639</t>
  </si>
  <si>
    <t>Fabby</t>
  </si>
  <si>
    <t>Jin</t>
  </si>
  <si>
    <t xml:space="preserve">Air Manager </t>
  </si>
  <si>
    <t>Qingdao Eastwind International Logistics Co.,Ltd</t>
  </si>
  <si>
    <t>QEL</t>
  </si>
  <si>
    <t>murphy.liu@eastwindlog.com</t>
  </si>
  <si>
    <t>86 131 5626 5577</t>
  </si>
  <si>
    <t>Murphy</t>
  </si>
  <si>
    <t>Oversea Coordinator</t>
  </si>
  <si>
    <t>SHENZHEN BEONE INTERNATIONAL LOGISTICS CO.，LTD.</t>
  </si>
  <si>
    <t>lucas@szbeone.com</t>
  </si>
  <si>
    <t>Lucas</t>
  </si>
  <si>
    <t>H&amp;H INTERNATIONAL LOGISTICS CO., LTD.</t>
  </si>
  <si>
    <t>HHI</t>
  </si>
  <si>
    <t>sherylzhao@logisticsyt.com</t>
  </si>
  <si>
    <t>86 135 1542 8075</t>
  </si>
  <si>
    <t xml:space="preserve">Sheryl </t>
  </si>
  <si>
    <t xml:space="preserve">Zhao </t>
  </si>
  <si>
    <t>Tianjin</t>
  </si>
  <si>
    <t xml:space="preserve">Oversea BD Vice Manager </t>
  </si>
  <si>
    <t>amorezhou@logisticsyt.com</t>
  </si>
  <si>
    <t>86 151 2480 0801</t>
  </si>
  <si>
    <t xml:space="preserve">Amore </t>
  </si>
  <si>
    <t>Wuhan</t>
  </si>
  <si>
    <t>Qingdao E-andex Int'l Logistics Inc.,Ltd.</t>
  </si>
  <si>
    <t>QIN</t>
  </si>
  <si>
    <t>Fiona &lt;fiona@e-andex.com&gt;</t>
  </si>
  <si>
    <t>86 18765285916</t>
  </si>
  <si>
    <t>Fiona</t>
  </si>
  <si>
    <t xml:space="preserve">Oversea Manager </t>
  </si>
  <si>
    <t>Goshine (Xiamen) International logistics co., LTD</t>
  </si>
  <si>
    <t>GOS</t>
  </si>
  <si>
    <t>will@goshine.com.cn</t>
  </si>
  <si>
    <t>86 13459294383</t>
  </si>
  <si>
    <t>Will</t>
  </si>
  <si>
    <t>Xiamen</t>
  </si>
  <si>
    <t>davidlin@facargo.com</t>
  </si>
  <si>
    <t>jerryding@timelogistics.com.cn</t>
  </si>
  <si>
    <t>admin@dyjlogistics.com'</t>
  </si>
  <si>
    <t>fabbyjin.sha@gullivanguard.com'</t>
  </si>
  <si>
    <t xml:space="preserve">DESIGENATION </t>
  </si>
  <si>
    <t xml:space="preserve">MODE </t>
  </si>
  <si>
    <t>CROSS + WORLD INTERNATIONAL CO.,LTD.</t>
  </si>
  <si>
    <r>
      <rPr>
        <sz val="11"/>
        <color rgb="FF000000"/>
        <rFont val="Calibri"/>
      </rPr>
      <t>overseas1@cwi.co.th</t>
    </r>
  </si>
  <si>
    <t>Benjaporn</t>
  </si>
  <si>
    <t>Teeranukul</t>
  </si>
  <si>
    <t>BANGKOK</t>
  </si>
  <si>
    <t>Overseas Executive</t>
  </si>
  <si>
    <t>Quality Access Global Logistics Co., Ltd.</t>
  </si>
  <si>
    <r>
      <rPr>
        <sz val="11"/>
        <color rgb="FF000000"/>
        <rFont val="Calibri"/>
      </rPr>
      <t>wassana@qualityaccess.co.th</t>
    </r>
  </si>
  <si>
    <t>66 65 949 9149</t>
  </si>
  <si>
    <t xml:space="preserve">Wassana </t>
  </si>
  <si>
    <t xml:space="preserve">Chatchapornworayos </t>
  </si>
  <si>
    <t>Overseas Development Division</t>
  </si>
  <si>
    <t>FULL WELL FREIGHT (THAILAND) CO., LTD.</t>
  </si>
  <si>
    <r>
      <rPr>
        <sz val="11"/>
        <color rgb="FF000000"/>
        <rFont val="Calibri"/>
      </rPr>
      <t>oranuch@fullwellfreight.com</t>
    </r>
  </si>
  <si>
    <t>66 02 119 5222</t>
  </si>
  <si>
    <t>Oranuch M</t>
  </si>
  <si>
    <t>Overseas Coordinator</t>
  </si>
  <si>
    <t>KTL International Logistics (Thailand) Co., Ltd</t>
  </si>
  <si>
    <t>Athul@Kinay.com</t>
  </si>
  <si>
    <t>91 95677 03008 / +66 08 246 31139</t>
  </si>
  <si>
    <t>Athul M</t>
  </si>
  <si>
    <t>Network Development</t>
  </si>
  <si>
    <t>SINO LOGISTICS COP.</t>
  </si>
  <si>
    <r>
      <rPr>
        <sz val="11"/>
        <color rgb="FF000000"/>
        <rFont val="Calibri"/>
      </rPr>
      <t>yindee.s@sinologistics.co.th</t>
    </r>
  </si>
  <si>
    <t>66 81 298 0593</t>
  </si>
  <si>
    <t>Yindee S</t>
  </si>
  <si>
    <t>TRANSPEED CO., LTD.</t>
  </si>
  <si>
    <t>arthit@transpeed.biz</t>
  </si>
  <si>
    <t>086 898 9925</t>
  </si>
  <si>
    <t>Mr.</t>
  </si>
  <si>
    <t>Arthit</t>
  </si>
  <si>
    <t>Phejtrakul</t>
  </si>
  <si>
    <t>Ocean Customer Service Operation and Pricing Manager</t>
  </si>
  <si>
    <t>A&amp;G INTERNATIONAL CARGO (THAILAND)CO.,LTD</t>
  </si>
  <si>
    <t>overseas2@angth.com</t>
  </si>
  <si>
    <t>085 488 4797</t>
  </si>
  <si>
    <t>OVERSEA COORIDINATOR</t>
  </si>
  <si>
    <t>LEO Global Logistics Public Company Limited</t>
  </si>
  <si>
    <t>sakonwan@leogloballogistics.com</t>
  </si>
  <si>
    <t>Sakonwan</t>
  </si>
  <si>
    <t>Overseas department</t>
  </si>
  <si>
    <t>Orca Forward Co.,Ltd</t>
  </si>
  <si>
    <r>
      <rPr>
        <sz val="11"/>
        <color rgb="FF000000"/>
        <rFont val="Calibri"/>
      </rPr>
      <t>jantee@orcaforward.com</t>
    </r>
  </si>
  <si>
    <t>66 98 461 5497</t>
  </si>
  <si>
    <t>Jantee T</t>
  </si>
  <si>
    <t>Sales Executive</t>
  </si>
  <si>
    <t>FALCON LOGISTICS SOLUTION CO.,LTD.</t>
  </si>
  <si>
    <t>CS@FALCONLOGISTICS.NET</t>
  </si>
  <si>
    <t>Kew</t>
  </si>
  <si>
    <t>Overseas Sales</t>
  </si>
  <si>
    <t>Billion Logistics Co.,Ltd</t>
  </si>
  <si>
    <r>
      <rPr>
        <sz val="11"/>
        <color rgb="FF000000"/>
        <rFont val="Calibri"/>
      </rPr>
      <t>ketsiree@bl.co.th</t>
    </r>
  </si>
  <si>
    <t xml:space="preserve">66 (0) 8 1 933 6021 </t>
  </si>
  <si>
    <t>Ket</t>
  </si>
  <si>
    <t>Sales Excusive</t>
  </si>
  <si>
    <t>T.V.L.GLOBAL LOGISTICS (THAILAND) CO., LTD.</t>
  </si>
  <si>
    <r>
      <rPr>
        <sz val="11"/>
        <color rgb="FF000000"/>
        <rFont val="Calibri"/>
      </rPr>
      <t>piya@tvlthailand.co.th</t>
    </r>
  </si>
  <si>
    <t>(+662) 678-1685</t>
  </si>
  <si>
    <t>Piya</t>
  </si>
  <si>
    <t xml:space="preserve">SR Infinity Logistics </t>
  </si>
  <si>
    <t>suphatsara@srinfinity-logistics.com</t>
  </si>
  <si>
    <t>66 +2-003-8885-6</t>
  </si>
  <si>
    <t xml:space="preserve">Suphatsara </t>
  </si>
  <si>
    <t>P</t>
  </si>
  <si>
    <t>BangKOK</t>
  </si>
  <si>
    <t xml:space="preserve">Sales Executive </t>
  </si>
  <si>
    <t>Armada International (M) Sdn Bhd</t>
  </si>
  <si>
    <t>cathy.low@armadagroup.com.my</t>
  </si>
  <si>
    <t>603-33268848</t>
  </si>
  <si>
    <t>Cathy</t>
  </si>
  <si>
    <t>Low</t>
  </si>
  <si>
    <t>Klang</t>
  </si>
  <si>
    <t>Overseas Business Development Manager</t>
  </si>
  <si>
    <t>Dextrans Group</t>
  </si>
  <si>
    <r>
      <rPr>
        <sz val="11"/>
        <color rgb="FF000000"/>
        <rFont val="Calibri"/>
      </rPr>
      <t>nurezeryana@dextransgroup.com</t>
    </r>
  </si>
  <si>
    <t>607-3597677</t>
  </si>
  <si>
    <t>Ezeryana</t>
  </si>
  <si>
    <t>PHILI-ORIENT LOGISTICS (PG) SDN BHD</t>
  </si>
  <si>
    <t>sheanyen.tan@pol-group.com</t>
  </si>
  <si>
    <t>604 6383173</t>
  </si>
  <si>
    <t>Mr</t>
  </si>
  <si>
    <t>Tan</t>
  </si>
  <si>
    <t>Shean Yen</t>
  </si>
  <si>
    <t>Penang</t>
  </si>
  <si>
    <t>Senior Executive Network &amp; Pricing</t>
  </si>
  <si>
    <t>World Ocean Logistics Sdn. Bhd.</t>
  </si>
  <si>
    <t>mktg@worldocean.com.my</t>
  </si>
  <si>
    <t>6016-619 5565</t>
  </si>
  <si>
    <t>Ms</t>
  </si>
  <si>
    <t>Peggy</t>
  </si>
  <si>
    <t>Ang</t>
  </si>
  <si>
    <t>Nakhoda Transport Sdn. Bhd</t>
  </si>
  <si>
    <t>celine@nakhoda.com.my</t>
  </si>
  <si>
    <t>Celine</t>
  </si>
  <si>
    <t>Transcargo Worldwide (M) Sdn Bhd</t>
  </si>
  <si>
    <r>
      <rPr>
        <sz val="11"/>
        <color rgb="FF000000"/>
        <rFont val="Calibri"/>
      </rPr>
      <t>siangzheng.gan@transcargo.com.my</t>
    </r>
  </si>
  <si>
    <t>60 13 851 9118</t>
  </si>
  <si>
    <t>Ms,</t>
  </si>
  <si>
    <t>Gan</t>
  </si>
  <si>
    <t>Siang Zheng</t>
  </si>
  <si>
    <t>Seafreight Business Support Executive</t>
  </si>
  <si>
    <t>EASTWAY EXPRESS LINE SDN BHD</t>
  </si>
  <si>
    <r>
      <rPr>
        <sz val="11"/>
        <color rgb="FF000000"/>
        <rFont val="Calibri"/>
      </rPr>
      <t>farah@eastway.com.my</t>
    </r>
  </si>
  <si>
    <t>607 598 2898</t>
  </si>
  <si>
    <t>Farah</t>
  </si>
  <si>
    <t>Sengal</t>
  </si>
  <si>
    <t>MS Global Freight Solution Sdn.Bhd</t>
  </si>
  <si>
    <r>
      <rPr>
        <sz val="11"/>
        <color rgb="FF000000"/>
        <rFont val="Calibri"/>
      </rPr>
      <t>pricing3@msglobal.com.my</t>
    </r>
  </si>
  <si>
    <t xml:space="preserve">603-7887 3903 </t>
  </si>
  <si>
    <t>Ye Lin</t>
  </si>
  <si>
    <t>Indoor Sales</t>
  </si>
  <si>
    <t>Aimtrans logistics (M)sdn.BHD</t>
  </si>
  <si>
    <t>jeremy@aimtz.com</t>
  </si>
  <si>
    <t>603-33233989</t>
  </si>
  <si>
    <t>Jeremy</t>
  </si>
  <si>
    <t>Platinum Cargo Logistics, Inc</t>
  </si>
  <si>
    <r>
      <rPr>
        <sz val="11"/>
        <color rgb="FF000000"/>
        <rFont val="Calibri"/>
      </rPr>
      <t>sean.himel@platinumcargo.com</t>
    </r>
  </si>
  <si>
    <t>281-961-2932</t>
  </si>
  <si>
    <t xml:space="preserve">Sean </t>
  </si>
  <si>
    <t>Himel</t>
  </si>
  <si>
    <t>Houston</t>
  </si>
  <si>
    <t>Senior Customer Service Agent, Domestic and International</t>
  </si>
  <si>
    <t>Air7seas Transport Logistics Inc</t>
  </si>
  <si>
    <t>Lee@air7seas.us</t>
  </si>
  <si>
    <t>+12245265096</t>
  </si>
  <si>
    <t>Lee</t>
  </si>
  <si>
    <t>Senior Sales Executive</t>
  </si>
  <si>
    <t>Seacoast Logistics, Inc</t>
  </si>
  <si>
    <r>
      <rPr>
        <sz val="11"/>
        <color rgb="FF000000"/>
        <rFont val="Calibri"/>
      </rPr>
      <t>john@seacoastlogistics.com</t>
    </r>
  </si>
  <si>
    <t>603-373-0055</t>
  </si>
  <si>
    <t>John</t>
  </si>
  <si>
    <t>Beggin</t>
  </si>
  <si>
    <t>Portsmouth</t>
  </si>
  <si>
    <t>Worldwide Logistics Partners, Inc</t>
  </si>
  <si>
    <r>
      <rPr>
        <sz val="11"/>
        <color rgb="FF000000"/>
        <rFont val="Calibri"/>
      </rPr>
      <t>mgonzalez@worldwidelp.com</t>
    </r>
  </si>
  <si>
    <t>(815) 788-1683</t>
  </si>
  <si>
    <t>Mariana</t>
  </si>
  <si>
    <t>Gonzalez</t>
  </si>
  <si>
    <t>Illions</t>
  </si>
  <si>
    <t>Air Export</t>
  </si>
  <si>
    <t>BLACKSTONE SHIPPING AMERICAS INC</t>
  </si>
  <si>
    <r>
      <rPr>
        <sz val="11"/>
        <color rgb="FF000000"/>
        <rFont val="Calibri"/>
      </rPr>
      <t>k.varnan@blackstoneshipping.com</t>
    </r>
  </si>
  <si>
    <t>+1 (848) 295 2222</t>
  </si>
  <si>
    <t>Varnan</t>
  </si>
  <si>
    <t>Krishnanunni</t>
  </si>
  <si>
    <t>New Jersey</t>
  </si>
  <si>
    <t>Regional Manager</t>
  </si>
  <si>
    <t>GC LOGITSICSGC Logistics, Inc</t>
  </si>
  <si>
    <t>tina@gclogisticsinc.com</t>
  </si>
  <si>
    <t>(760) 851 0514</t>
  </si>
  <si>
    <t>Dipty</t>
  </si>
  <si>
    <t>Patel</t>
  </si>
  <si>
    <t>California</t>
  </si>
  <si>
    <t>Director of Operations</t>
  </si>
  <si>
    <t>Seabridge Transport GmbH</t>
  </si>
  <si>
    <t xml:space="preserve">tadese@seabridge.de </t>
  </si>
  <si>
    <t>49 (0)40 374933-26</t>
  </si>
  <si>
    <t xml:space="preserve">Efrem </t>
  </si>
  <si>
    <t>Tadese</t>
  </si>
  <si>
    <t xml:space="preserve">Hamburg  </t>
  </si>
  <si>
    <t xml:space="preserve">Inside Sales ( Sea &amp; Air ) </t>
  </si>
  <si>
    <t>CGATE Logistics GmbH</t>
  </si>
  <si>
    <r>
      <rPr>
        <b/>
        <sz val="11"/>
        <color rgb="FF000000"/>
        <rFont val="Calibri"/>
      </rPr>
      <t>tpo@cgate-logistics.com</t>
    </r>
  </si>
  <si>
    <t>49 40 3252883 223</t>
  </si>
  <si>
    <t>Timo</t>
  </si>
  <si>
    <t>Ocean Export Department</t>
  </si>
  <si>
    <t>Raben Sea &amp; Air GmbH</t>
  </si>
  <si>
    <r>
      <rPr>
        <b/>
        <sz val="11"/>
        <color rgb="FF000000"/>
        <rFont val="Calibri"/>
      </rPr>
      <t>ufuk.yildiz@raben-group.com</t>
    </r>
  </si>
  <si>
    <t>49 (0) 151 106 65 627</t>
  </si>
  <si>
    <t>Hamburg</t>
  </si>
  <si>
    <t xml:space="preserve">SEA - FCL </t>
  </si>
  <si>
    <t>RAB</t>
  </si>
  <si>
    <t>dominic.stark@raben-group.com</t>
  </si>
  <si>
    <t>Dominic</t>
  </si>
  <si>
    <t>Stark</t>
  </si>
  <si>
    <t>Airfreight Export / Import</t>
  </si>
  <si>
    <t>Lorena.Werner@raben-group.com</t>
  </si>
  <si>
    <t xml:space="preserve">Lorena </t>
  </si>
  <si>
    <t>Werner</t>
  </si>
  <si>
    <t>SEA - LCL</t>
  </si>
  <si>
    <t>NOSTA Sea &amp; Air GmbH</t>
  </si>
  <si>
    <r>
      <rPr>
        <b/>
        <sz val="11"/>
        <color rgb="FF000000"/>
        <rFont val="Calibri"/>
      </rPr>
      <t>str-ocean@nosta.de</t>
    </r>
  </si>
  <si>
    <t>Hehemann</t>
  </si>
  <si>
    <t>Trainee Ocean</t>
  </si>
  <si>
    <t>Angelfreight GmbH</t>
  </si>
  <si>
    <r>
      <rPr>
        <b/>
        <sz val="11"/>
        <color rgb="FF000000"/>
        <rFont val="Calibri"/>
      </rPr>
      <t>j.herault</t>
    </r>
    <r>
      <rPr>
        <b/>
        <sz val="11"/>
        <color rgb="FF000000"/>
        <rFont val="Calibri"/>
      </rPr>
      <t>@angelfreight.de</t>
    </r>
  </si>
  <si>
    <t>49 6131 913 51 13</t>
  </si>
  <si>
    <t>Julien</t>
  </si>
  <si>
    <t>Hérault</t>
  </si>
  <si>
    <t>Mainz</t>
  </si>
  <si>
    <t xml:space="preserve">Ocean Export - FCL </t>
  </si>
  <si>
    <t>b.nowag@angelfreight.de</t>
  </si>
  <si>
    <t>49 6131 913 51 24</t>
  </si>
  <si>
    <t>Bettina</t>
  </si>
  <si>
    <t>Nowag</t>
  </si>
  <si>
    <t>Teamleader Ocean (Export) - LCL</t>
  </si>
  <si>
    <t>c.jost@angelfreight.de</t>
  </si>
  <si>
    <t>49 6131 913 51 14</t>
  </si>
  <si>
    <t>Caroline</t>
  </si>
  <si>
    <t>Jost</t>
  </si>
  <si>
    <t>Export Clerk - Air</t>
  </si>
  <si>
    <t>L.I.T. Air &amp; Sea GmbH</t>
  </si>
  <si>
    <t>Pricing3@lit.de</t>
  </si>
  <si>
    <t>Dora</t>
  </si>
  <si>
    <t>George</t>
  </si>
  <si>
    <t>Bremen</t>
  </si>
  <si>
    <t>L.I</t>
  </si>
  <si>
    <t>Sara.Schoeneck@lit.de</t>
  </si>
  <si>
    <t>49 170 9326 176</t>
  </si>
  <si>
    <t>Gargi</t>
  </si>
  <si>
    <t xml:space="preserve">Pricing Executive </t>
  </si>
  <si>
    <t>Pricing1@lit.de</t>
  </si>
  <si>
    <t xml:space="preserve">Sara </t>
  </si>
  <si>
    <t>Schoeneck</t>
  </si>
  <si>
    <t xml:space="preserve">Air Freight Specialist </t>
  </si>
  <si>
    <t>Kroll Internationale Spedition GmbH</t>
  </si>
  <si>
    <r>
      <rPr>
        <b/>
        <sz val="11"/>
        <color rgb="FF000000"/>
        <rFont val="Calibri"/>
      </rPr>
      <t>axel.dams@kroll-international.de</t>
    </r>
  </si>
  <si>
    <t xml:space="preserve">49 30 760097-15 </t>
  </si>
  <si>
    <t>Axel</t>
  </si>
  <si>
    <t>Dams</t>
  </si>
  <si>
    <t>Berlin</t>
  </si>
  <si>
    <t>coordinator sea freight</t>
  </si>
  <si>
    <t>Geis Air + Sea GmbH</t>
  </si>
  <si>
    <t>GEI</t>
  </si>
  <si>
    <r>
      <rPr>
        <b/>
        <sz val="11"/>
        <color rgb="FF000000"/>
        <rFont val="Calibri"/>
      </rPr>
      <t>erol.yikilmazoglu@geis-group.de</t>
    </r>
  </si>
  <si>
    <t>49(40)298134-105</t>
  </si>
  <si>
    <t>Ufuk</t>
  </si>
  <si>
    <t>Yildiz</t>
  </si>
  <si>
    <t>Myra.Kraushaar@Geis-Group.de</t>
  </si>
  <si>
    <t>Kraushaar</t>
  </si>
  <si>
    <t>Myra</t>
  </si>
  <si>
    <t xml:space="preserve">Seafreight Export </t>
  </si>
  <si>
    <t>Leoproex North Europe GmbH</t>
  </si>
  <si>
    <t>Jonas.Quittkat@leoproexnortheurope.com</t>
  </si>
  <si>
    <t>49 1520 2383350</t>
  </si>
  <si>
    <t>Jonas</t>
  </si>
  <si>
    <t>Quittkat</t>
  </si>
  <si>
    <t>Manager Business Development &amp; Sales</t>
  </si>
  <si>
    <t>LEO</t>
  </si>
  <si>
    <t>ole.tschersich@leoproexnortheurope.com</t>
  </si>
  <si>
    <t>Ole</t>
  </si>
  <si>
    <t>Tschersich</t>
  </si>
  <si>
    <t>Sales &amp; Customer Service</t>
  </si>
  <si>
    <t>Cargomind (Germany) GmbH</t>
  </si>
  <si>
    <t>yesim.sen@cargomind.com</t>
  </si>
  <si>
    <t>Yesim</t>
  </si>
  <si>
    <t>Düsseldorf</t>
  </si>
  <si>
    <t>Air Operations</t>
  </si>
  <si>
    <t>Streck Transportges. mbH</t>
  </si>
  <si>
    <t>Leonhard.Graf@streck.de</t>
  </si>
  <si>
    <t>Leonhard</t>
  </si>
  <si>
    <t>Graf</t>
  </si>
  <si>
    <t>Deutschland</t>
  </si>
  <si>
    <t xml:space="preserve">Global Partnership </t>
  </si>
  <si>
    <t xml:space="preserve">BTG International Spedition GmbH </t>
  </si>
  <si>
    <t>BTG</t>
  </si>
  <si>
    <t>DE00MC-Seafreight.Export &lt;Seafreight.Export@btg.de&gt;</t>
  </si>
  <si>
    <t xml:space="preserve">Martin </t>
  </si>
  <si>
    <t xml:space="preserve">Kuechens </t>
  </si>
  <si>
    <t xml:space="preserve">Ocean Export Specialist </t>
  </si>
  <si>
    <t xml:space="preserve">Qualified Cargo Solutions GmbH </t>
  </si>
  <si>
    <t>QUA</t>
  </si>
  <si>
    <t>seafreight@qualified-cargo.solutions</t>
  </si>
  <si>
    <t xml:space="preserve">Filip </t>
  </si>
  <si>
    <t>Janev</t>
  </si>
  <si>
    <t xml:space="preserve">Walldorf </t>
  </si>
  <si>
    <t>Export | Qualified &lt;export@qualified-cargo.solutions&gt;</t>
  </si>
  <si>
    <t xml:space="preserve">Julia </t>
  </si>
  <si>
    <t>Hungsburg</t>
  </si>
  <si>
    <t xml:space="preserve">Air Export </t>
  </si>
  <si>
    <t>Netcon int. GmbH | Defense &amp; Explosives</t>
  </si>
  <si>
    <t>NET</t>
  </si>
  <si>
    <t>bodo.gnoyke@netcon-int.com</t>
  </si>
  <si>
    <t>49 (0) 4941 605 66 28</t>
  </si>
  <si>
    <t>Bodo</t>
  </si>
  <si>
    <t>Gnoyke</t>
  </si>
  <si>
    <t xml:space="preserve">Defensive &amp; Explosives </t>
  </si>
  <si>
    <t>military and civil defense materials</t>
  </si>
  <si>
    <t>Total Freight Solution</t>
  </si>
  <si>
    <t>Ludivine GROUT &lt;ludivineg@tfsfrance.com&gt;</t>
  </si>
  <si>
    <t xml:space="preserve">Ludivine </t>
  </si>
  <si>
    <t xml:space="preserve">Grout </t>
  </si>
  <si>
    <t xml:space="preserve">France </t>
  </si>
  <si>
    <t xml:space="preserve">Alpha Cargo International Logistics </t>
  </si>
  <si>
    <t>Eugenie CASTAING &lt;eugenie@alphacargo.fr&gt;</t>
  </si>
  <si>
    <t>33(0)1 85 10 57 01</t>
  </si>
  <si>
    <t xml:space="preserve">Eugenie </t>
  </si>
  <si>
    <t xml:space="preserve">Castaing </t>
  </si>
  <si>
    <t xml:space="preserve">Operations Department </t>
  </si>
  <si>
    <t xml:space="preserve">Easy Freight </t>
  </si>
  <si>
    <t>Ocean quotation EASY FREIGHT FRANCE &lt;quotes@easy-freight.fr&gt;</t>
  </si>
  <si>
    <t xml:space="preserve">Monika </t>
  </si>
  <si>
    <t xml:space="preserve">Quotation Desk </t>
  </si>
  <si>
    <t>LPO Sogena</t>
  </si>
  <si>
    <t>Géraldine Racinet Duhamel &lt;g.racinetduhamel@lposogena.com&gt;</t>
  </si>
  <si>
    <t>Geraldine</t>
  </si>
  <si>
    <t>RACINET DUHAMEL</t>
  </si>
  <si>
    <t xml:space="preserve">Le Havre </t>
  </si>
  <si>
    <t xml:space="preserve">Sales Outside </t>
  </si>
  <si>
    <t xml:space="preserve">Sealogis Freight Forwarding </t>
  </si>
  <si>
    <t>Guillaume FLANDRY &lt;guillaume.flandry@sealogis.com&gt;</t>
  </si>
  <si>
    <t>Guillaume</t>
  </si>
  <si>
    <t>Flandry</t>
  </si>
  <si>
    <t xml:space="preserve">Inside Sales </t>
  </si>
  <si>
    <t>commercial@dekeirel.com</t>
  </si>
  <si>
    <t>wca@mathezfreight.com</t>
  </si>
  <si>
    <t>exportdept@fci-cie.com</t>
  </si>
  <si>
    <t>ICAL International Customs And Logistics</t>
  </si>
  <si>
    <t>Rebecca.Coleman@ical.com.au</t>
  </si>
  <si>
    <t>03 9344 7533</t>
  </si>
  <si>
    <t>Rebecca</t>
  </si>
  <si>
    <t>Coleman</t>
  </si>
  <si>
    <t>Export Sea Supervisor</t>
  </si>
  <si>
    <t>C.T. Freight Pty Ltd</t>
  </si>
  <si>
    <t>Simon.Orrico@ctfreight.com</t>
  </si>
  <si>
    <t>61 415 496571</t>
  </si>
  <si>
    <t>Simon</t>
  </si>
  <si>
    <t>Orrico</t>
  </si>
  <si>
    <t>ACE Global Logistics</t>
  </si>
  <si>
    <t>stacy@acegloballogistics.com.au</t>
  </si>
  <si>
    <t>61 487 021 919</t>
  </si>
  <si>
    <t>Stacy</t>
  </si>
  <si>
    <t>Trinh</t>
  </si>
  <si>
    <t>Air Exports Co-Ordinator</t>
  </si>
  <si>
    <t>Transco Cargo</t>
  </si>
  <si>
    <r>
      <rPr>
        <sz val="11"/>
        <color rgb="FF000000"/>
        <rFont val="Calibri"/>
      </rPr>
      <t>rushan@transcocargo.com.au</t>
    </r>
  </si>
  <si>
    <t>61 3 9703 2255</t>
  </si>
  <si>
    <t>Rushan</t>
  </si>
  <si>
    <t>Gayantha</t>
  </si>
  <si>
    <t>Pricing &amp; Operations Executive</t>
  </si>
  <si>
    <t>JCT CO.,LTD</t>
  </si>
  <si>
    <r>
      <rPr>
        <sz val="11"/>
        <color rgb="FF000000"/>
        <rFont val="Calibri"/>
      </rPr>
      <t>a-furuichi@jctyo.co.jp</t>
    </r>
  </si>
  <si>
    <t>81 3 5765 7668</t>
  </si>
  <si>
    <t>Aya</t>
  </si>
  <si>
    <t>Furuichi</t>
  </si>
  <si>
    <t>Tokyo</t>
  </si>
  <si>
    <t>SANYO Logistics Inc.</t>
  </si>
  <si>
    <r>
      <rPr>
        <sz val="11"/>
        <color rgb="FF000000"/>
        <rFont val="Calibri"/>
      </rPr>
      <t>s.iwashima@sanyo-logi.com</t>
    </r>
  </si>
  <si>
    <t xml:space="preserve">81 3 6275 1713 </t>
  </si>
  <si>
    <t>Shohta</t>
  </si>
  <si>
    <t>Iwashima</t>
  </si>
  <si>
    <t>Osaka</t>
  </si>
  <si>
    <t>Apex international inc</t>
  </si>
  <si>
    <r>
      <rPr>
        <sz val="11"/>
        <color rgb="FF000000"/>
        <rFont val="Calibri"/>
      </rPr>
      <t>miyama@apexintl.co.jp</t>
    </r>
  </si>
  <si>
    <t xml:space="preserve">81 90 8482 5910 </t>
  </si>
  <si>
    <t>Hiroshi</t>
  </si>
  <si>
    <t>Sales &amp; Marketing Division</t>
  </si>
  <si>
    <t>DGX Japan Ltd</t>
  </si>
  <si>
    <r>
      <rPr>
        <sz val="11"/>
        <color rgb="FF000000"/>
        <rFont val="Calibri"/>
      </rPr>
      <t>yuki.shimizu@dgxjapan.com</t>
    </r>
  </si>
  <si>
    <t xml:space="preserve">81 3 5776 7401 </t>
  </si>
  <si>
    <t>Yuki</t>
  </si>
  <si>
    <t>Shimizu</t>
  </si>
  <si>
    <t>FEG LOGISTICS Co.,Ltd.</t>
  </si>
  <si>
    <r>
      <rPr>
        <sz val="11"/>
        <color rgb="FF000000"/>
        <rFont val="Calibri"/>
      </rPr>
      <t>tyo@familyexp.com</t>
    </r>
  </si>
  <si>
    <t>81 3 6868 5570</t>
  </si>
  <si>
    <t>Airi</t>
  </si>
  <si>
    <t>Makita</t>
  </si>
  <si>
    <t>Barsan Global Logistics Co LLC</t>
  </si>
  <si>
    <r>
      <rPr>
        <sz val="11"/>
        <color rgb="FF000000"/>
        <rFont val="Calibri"/>
      </rPr>
      <t>Nihon.Eigyoubu@barsan.com</t>
    </r>
  </si>
  <si>
    <t>81 3 6721 8880</t>
  </si>
  <si>
    <t>Momoyo</t>
  </si>
  <si>
    <t>Kosaka</t>
  </si>
  <si>
    <t>NTG Air &amp; Ocean Japan Inc.</t>
  </si>
  <si>
    <r>
      <rPr>
        <sz val="11"/>
        <color rgb="FF000000"/>
        <rFont val="Calibri"/>
      </rPr>
      <t>sht@ntgairocean.com</t>
    </r>
  </si>
  <si>
    <t>81 3 6240 1560</t>
  </si>
  <si>
    <t>Shunichi</t>
  </si>
  <si>
    <t>Takeuchi</t>
  </si>
  <si>
    <t>KOBELCO LOGISTICS, LTD</t>
  </si>
  <si>
    <r>
      <rPr>
        <sz val="11"/>
        <color rgb="FF000000"/>
        <rFont val="Calibri"/>
      </rPr>
      <t>logis.wca@kobelco.com</t>
    </r>
  </si>
  <si>
    <t>81 7 8262 3845</t>
  </si>
  <si>
    <t>Miho</t>
  </si>
  <si>
    <t>Oka</t>
  </si>
  <si>
    <t>IMPORT TEAM</t>
  </si>
  <si>
    <t>m-huang@jctyo.co.jp;y-saito@jctyo.co.jp</t>
  </si>
  <si>
    <t>Pacific Integrated Logistics Pte Ltd</t>
  </si>
  <si>
    <r>
      <rPr>
        <sz val="11"/>
        <color rgb="FF000000"/>
        <rFont val="Calibri"/>
      </rPr>
      <t>rebecca.yap@plg-logistics.com</t>
    </r>
  </si>
  <si>
    <t xml:space="preserve">65 6542 2168 </t>
  </si>
  <si>
    <t>Yap</t>
  </si>
  <si>
    <t>CTI Logistics Pte Ltd</t>
  </si>
  <si>
    <t>doris.tan@ctisin.com</t>
  </si>
  <si>
    <t>65-66920456</t>
  </si>
  <si>
    <t>Doris</t>
  </si>
  <si>
    <t>Business Development</t>
  </si>
  <si>
    <t>Bluorbit Logistics Pte Ltd</t>
  </si>
  <si>
    <t>sg.pricing@bluorbitlogistics.com</t>
  </si>
  <si>
    <t>65 6245 5546</t>
  </si>
  <si>
    <t>Kanika</t>
  </si>
  <si>
    <t>Jairath</t>
  </si>
  <si>
    <t>Unifret International Srl</t>
  </si>
  <si>
    <t>barbara.verga@unifretinternational.com</t>
  </si>
  <si>
    <t>39 02 86890634</t>
  </si>
  <si>
    <t>Barbara</t>
  </si>
  <si>
    <t>Verga</t>
  </si>
  <si>
    <t>Segrate</t>
  </si>
  <si>
    <t>Air Freight Export Dept</t>
  </si>
  <si>
    <t>TAG S.P.A</t>
  </si>
  <si>
    <r>
      <rPr>
        <sz val="11"/>
        <color rgb="FF000000"/>
        <rFont val="Calibri"/>
      </rPr>
      <t>iacopo.marchi@tag-italia.net</t>
    </r>
  </si>
  <si>
    <t>39 051 41 474 23</t>
  </si>
  <si>
    <t>Iacopo</t>
  </si>
  <si>
    <t>Marchi</t>
  </si>
  <si>
    <t>Bologna</t>
  </si>
  <si>
    <t>Air traffic Manager</t>
  </si>
  <si>
    <t>VECTOR S.p.A</t>
  </si>
  <si>
    <r>
      <rPr>
        <sz val="11"/>
        <color rgb="FF000000"/>
        <rFont val="Calibri"/>
      </rPr>
      <t>fiani.anthony@vectorspa.it</t>
    </r>
  </si>
  <si>
    <t>39 0331 446097</t>
  </si>
  <si>
    <t>Anthony</t>
  </si>
  <si>
    <t>Fiani</t>
  </si>
  <si>
    <t>Castellanza</t>
  </si>
  <si>
    <t>INDIA MARKET - EXPORT OPERATION</t>
  </si>
  <si>
    <t>Casasco &amp; Nardi S.p.A.</t>
  </si>
  <si>
    <t>Gloria.Raimondi@casasconardi.com</t>
  </si>
  <si>
    <t>39 345 6067012</t>
  </si>
  <si>
    <t>Gloria</t>
  </si>
  <si>
    <t>Raimondi</t>
  </si>
  <si>
    <t>Malpensa</t>
  </si>
  <si>
    <t>GRUBER Logistics S.p.A.</t>
  </si>
  <si>
    <t>Meazza@gruber-logistics.com</t>
  </si>
  <si>
    <t>39 02 99199 023</t>
  </si>
  <si>
    <t>Simone</t>
  </si>
  <si>
    <t>Meazza</t>
  </si>
  <si>
    <t>Lainate</t>
  </si>
  <si>
    <t>roject Cargo, Air &amp; Ocean - Import &amp; Export Air</t>
  </si>
  <si>
    <t>World Cargo Srl</t>
  </si>
  <si>
    <r>
      <rPr>
        <sz val="11"/>
        <color rgb="FF000000"/>
        <rFont val="Calibri"/>
      </rPr>
      <t>p.grand@worldcargo.it</t>
    </r>
  </si>
  <si>
    <t>39 0292271294</t>
  </si>
  <si>
    <t>Patrick</t>
  </si>
  <si>
    <t>Grand</t>
  </si>
  <si>
    <t>Milano</t>
  </si>
  <si>
    <t>Inside Sales</t>
  </si>
  <si>
    <t>ORMESANI</t>
  </si>
  <si>
    <t>enrico.nosari@ormesani.it</t>
  </si>
  <si>
    <t>39 335 759 6931</t>
  </si>
  <si>
    <t>Enrico</t>
  </si>
  <si>
    <t>Nosari</t>
  </si>
  <si>
    <t>ROME</t>
  </si>
  <si>
    <t>Sales Operator</t>
  </si>
  <si>
    <t>KDZ EXPRESS BV</t>
  </si>
  <si>
    <t>ams.specials@kdz.com</t>
  </si>
  <si>
    <t>31 (0)85 – 487 5055</t>
  </si>
  <si>
    <t>Jesse</t>
  </si>
  <si>
    <t>Boer</t>
  </si>
  <si>
    <t>Schiphol</t>
  </si>
  <si>
    <t>SKYWAVE CARGO</t>
  </si>
  <si>
    <t>export.ams@skywavecargo.com</t>
  </si>
  <si>
    <t>31 6 31330536</t>
  </si>
  <si>
    <t>Mulder</t>
  </si>
  <si>
    <t>Airfreight Specialist</t>
  </si>
  <si>
    <t>DL Freight  Management</t>
  </si>
  <si>
    <r>
      <rPr>
        <sz val="11"/>
        <color rgb="FF000000"/>
        <rFont val="Calibri"/>
      </rPr>
      <t>joost.rotteveel@dl.nl</t>
    </r>
  </si>
  <si>
    <t>31 (0)88-048 1103</t>
  </si>
  <si>
    <t>Joost</t>
  </si>
  <si>
    <t>Rotteveel</t>
  </si>
  <si>
    <t>ROTRA</t>
  </si>
  <si>
    <r>
      <rPr>
        <sz val="11"/>
        <color rgb="FF000000"/>
        <rFont val="Calibri"/>
      </rPr>
      <t>ricardo.de.haan@rotra.nl</t>
    </r>
  </si>
  <si>
    <t>31 20 658 8777</t>
  </si>
  <si>
    <t>Ricardo</t>
  </si>
  <si>
    <t>de Haan</t>
  </si>
  <si>
    <t>Amsterdam</t>
  </si>
  <si>
    <t>DUTCH CARGO</t>
  </si>
  <si>
    <r>
      <rPr>
        <sz val="11"/>
        <color rgb="FF000000"/>
        <rFont val="Calibri"/>
      </rPr>
      <t>ams@dutchqargo.com</t>
    </r>
  </si>
  <si>
    <t>31 (0) 6 1488 3597</t>
  </si>
  <si>
    <t>Florindo Paula</t>
  </si>
  <si>
    <t>Vennep</t>
  </si>
  <si>
    <t>Commercial Director</t>
  </si>
  <si>
    <t>ClearFreight Amsterdam</t>
  </si>
  <si>
    <r>
      <rPr>
        <sz val="11"/>
        <color rgb="FF000000"/>
        <rFont val="Calibri"/>
      </rPr>
      <t>Ed.Roest@clearfreight.nl</t>
    </r>
  </si>
  <si>
    <t>31.6.462.88333</t>
  </si>
  <si>
    <t>Ed</t>
  </si>
  <si>
    <t>Roest</t>
  </si>
  <si>
    <t>Branch Manager</t>
  </si>
  <si>
    <t>SHARE LOGISTICS</t>
  </si>
  <si>
    <t>pricing.air@sharelogistics.com</t>
  </si>
  <si>
    <t>Jeroen</t>
  </si>
  <si>
    <t>Maasbommel</t>
  </si>
  <si>
    <t>Fokkerweg</t>
  </si>
  <si>
    <t>GD-iTS Forwarding Air B.V.</t>
  </si>
  <si>
    <r>
      <rPr>
        <sz val="11"/>
        <color rgb="FF000000"/>
        <rFont val="Calibri"/>
      </rPr>
      <t>air@gd-its.com</t>
    </r>
  </si>
  <si>
    <t>31 (0) 850 80 60 80</t>
  </si>
  <si>
    <t>Wouter</t>
  </si>
  <si>
    <t>Vermeulen</t>
  </si>
  <si>
    <t>Operations Air</t>
  </si>
  <si>
    <t>PGS LOGISTICS</t>
  </si>
  <si>
    <t>sel-air@parisigs.com</t>
  </si>
  <si>
    <t>82 10 529 22811</t>
  </si>
  <si>
    <t>Bahti</t>
  </si>
  <si>
    <t>Seoul</t>
  </si>
  <si>
    <t>Operations</t>
  </si>
  <si>
    <t>AWOT Global Logistics (Korea) Co., Ltd.</t>
  </si>
  <si>
    <r>
      <rPr>
        <sz val="11"/>
        <color rgb="FF000000"/>
        <rFont val="Calibri"/>
      </rPr>
      <t>luiz_kang@awotglobal.com</t>
    </r>
  </si>
  <si>
    <t>82 10 7101 6407</t>
  </si>
  <si>
    <t>Luiz</t>
  </si>
  <si>
    <t>Kang</t>
  </si>
  <si>
    <t>Senior Associate</t>
  </si>
  <si>
    <t>BORG Air Sea Transport Inc</t>
  </si>
  <si>
    <r>
      <rPr>
        <sz val="11"/>
        <color rgb="FF000000"/>
        <rFont val="Calibri"/>
      </rPr>
      <t>air@borgairsea.co.kr</t>
    </r>
  </si>
  <si>
    <t>82 70 7459 6010</t>
  </si>
  <si>
    <t>Daniel</t>
  </si>
  <si>
    <t>Jung</t>
  </si>
  <si>
    <t>Advanced Manager</t>
  </si>
  <si>
    <t>PAX  Logistics Co. Ltd</t>
  </si>
  <si>
    <r>
      <rPr>
        <sz val="11"/>
        <color rgb="FF000000"/>
        <rFont val="Calibri"/>
      </rPr>
      <t>tkang@paxlogis.com</t>
    </r>
  </si>
  <si>
    <t>82 51 462 7603</t>
  </si>
  <si>
    <t>Tony</t>
  </si>
  <si>
    <t>Busan</t>
  </si>
  <si>
    <t>Sales Dept.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</si>
</sst>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00\ 00\ 000\ 0000"/>
  </numFmts>
  <fonts count="20" x14ac:knownFonts="1">
    <font>
      <sz val="10"/>
      <color rgb="FF000000"/>
      <name val="Arial"/>
      <scheme val="minor"/>
    </font>
    <font>
      <b/>
      <sz val="11"/>
      <color rgb="FFFF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1"/>
      <color rgb="FFFF0000"/>
      <name val="Roboto"/>
    </font>
    <font>
      <sz val="11"/>
      <color theme="1"/>
      <name val="Roboto"/>
    </font>
    <font>
      <sz val="11"/>
      <color rgb="FF000000"/>
      <name val="Roboto"/>
    </font>
    <font>
      <sz val="10"/>
      <color theme="1"/>
      <name val="Roboto"/>
    </font>
    <font>
      <sz val="10"/>
      <color rgb="FF3A3A3A"/>
      <name val="Roboto"/>
    </font>
    <font>
      <b/>
      <sz val="10"/>
      <color theme="1"/>
      <name val="Roboto"/>
    </font>
    <font>
      <b/>
      <sz val="12"/>
      <color rgb="FFFF0000"/>
      <name val="Calibri"/>
    </font>
    <font>
      <b/>
      <sz val="12"/>
      <color theme="1"/>
      <name val="Calibri"/>
    </font>
    <font>
      <b/>
      <sz val="11"/>
      <color rgb="FFFF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quotePrefix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164" fontId="9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3" fillId="2" borderId="0" xfId="0" applyFont="1" applyFill="1"/>
    <xf numFmtId="0" fontId="12" fillId="0" borderId="0" xfId="0" applyFont="1" applyAlignment="1">
      <alignment horizontal="left"/>
    </xf>
    <xf numFmtId="0" fontId="13" fillId="0" borderId="0" xfId="0" applyFont="1"/>
    <xf numFmtId="0" fontId="4" fillId="0" borderId="0" xfId="0" quotePrefix="1" applyFont="1"/>
    <xf numFmtId="0" fontId="4" fillId="2" borderId="0" xfId="0" applyFont="1" applyFill="1"/>
    <xf numFmtId="0" fontId="14" fillId="0" borderId="0" xfId="0" applyFont="1"/>
    <xf numFmtId="0" fontId="15" fillId="0" borderId="0" xfId="0" applyFont="1" applyAlignment="1">
      <alignment horizontal="center" vertical="top"/>
    </xf>
    <xf numFmtId="164" fontId="15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7" fillId="0" borderId="0" xfId="0" applyFont="1" applyAlignment="1">
      <alignment vertical="top"/>
    </xf>
    <xf numFmtId="164" fontId="17" fillId="0" borderId="0" xfId="0" applyNumberFormat="1" applyFont="1" applyAlignment="1">
      <alignment vertical="top"/>
    </xf>
    <xf numFmtId="0" fontId="18" fillId="0" borderId="0" xfId="0" applyFont="1"/>
    <xf numFmtId="0" fontId="19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ilychen@yuexinlogistics.com" TargetMode="External"/><Relationship Id="rId2" Type="http://schemas.openxmlformats.org/officeDocument/2006/relationships/hyperlink" Target="mailto:CSD01.NJ@CTSFREIGHT.COM" TargetMode="External"/><Relationship Id="rId1" Type="http://schemas.openxmlformats.org/officeDocument/2006/relationships/hyperlink" Target="mailto:alexmao.sh@amassfreight.com" TargetMode="External"/><Relationship Id="rId6" Type="http://schemas.openxmlformats.org/officeDocument/2006/relationships/hyperlink" Target="mailto:king_zhong@realhonglee.com" TargetMode="External"/><Relationship Id="rId5" Type="http://schemas.openxmlformats.org/officeDocument/2006/relationships/hyperlink" Target="mailto:lisa.ma@adynamic-cn.com" TargetMode="External"/><Relationship Id="rId4" Type="http://schemas.openxmlformats.org/officeDocument/2006/relationships/hyperlink" Target="mailto:ovs15.sha@bestservices.com.c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iya@tvlthailand.co.th" TargetMode="External"/><Relationship Id="rId3" Type="http://schemas.openxmlformats.org/officeDocument/2006/relationships/hyperlink" Target="mailto:oranuch@fullwellfreight.com" TargetMode="External"/><Relationship Id="rId7" Type="http://schemas.openxmlformats.org/officeDocument/2006/relationships/hyperlink" Target="mailto:ketsiree@bl.co.th" TargetMode="External"/><Relationship Id="rId2" Type="http://schemas.openxmlformats.org/officeDocument/2006/relationships/hyperlink" Target="mailto:Wassana@qualityaccess.co.th" TargetMode="External"/><Relationship Id="rId1" Type="http://schemas.openxmlformats.org/officeDocument/2006/relationships/hyperlink" Target="mailto:overseas1@cwi.co.th" TargetMode="External"/><Relationship Id="rId6" Type="http://schemas.openxmlformats.org/officeDocument/2006/relationships/hyperlink" Target="mailto:CS@FALCONLOGISTICS.NET" TargetMode="External"/><Relationship Id="rId5" Type="http://schemas.openxmlformats.org/officeDocument/2006/relationships/hyperlink" Target="mailto:jantee@orcaforward.com" TargetMode="External"/><Relationship Id="rId4" Type="http://schemas.openxmlformats.org/officeDocument/2006/relationships/hyperlink" Target="mailto:yindee.s@sinologistics.co.t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arah@eastway.com.my" TargetMode="External"/><Relationship Id="rId2" Type="http://schemas.openxmlformats.org/officeDocument/2006/relationships/hyperlink" Target="mailto:siangzheng.gan@transcargo.com.my" TargetMode="External"/><Relationship Id="rId1" Type="http://schemas.openxmlformats.org/officeDocument/2006/relationships/hyperlink" Target="mailto:nurezeryana@dextransgroup.com" TargetMode="External"/><Relationship Id="rId4" Type="http://schemas.openxmlformats.org/officeDocument/2006/relationships/hyperlink" Target="mailto:pricing3@msglobal.com.my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gonzalez@worldwidelp.com" TargetMode="External"/><Relationship Id="rId2" Type="http://schemas.openxmlformats.org/officeDocument/2006/relationships/hyperlink" Target="mailto:john@seacoastlogistics.com" TargetMode="External"/><Relationship Id="rId1" Type="http://schemas.openxmlformats.org/officeDocument/2006/relationships/hyperlink" Target="mailto:kelly.thieman@platinumcargo.com" TargetMode="External"/><Relationship Id="rId4" Type="http://schemas.openxmlformats.org/officeDocument/2006/relationships/hyperlink" Target="mailto:k.varnan@blackstoneshippin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tr-ocean@nosta.de" TargetMode="External"/><Relationship Id="rId7" Type="http://schemas.openxmlformats.org/officeDocument/2006/relationships/hyperlink" Target="mailto:Jonas.Quittkat@leoproexnortheurope.com" TargetMode="External"/><Relationship Id="rId2" Type="http://schemas.openxmlformats.org/officeDocument/2006/relationships/hyperlink" Target="mailto:ufuk.yildiz@raben-group.com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erol.yikilmazoglu@geis-group.de" TargetMode="External"/><Relationship Id="rId5" Type="http://schemas.openxmlformats.org/officeDocument/2006/relationships/hyperlink" Target="mailto:axel.dams@kroll-international.de" TargetMode="External"/><Relationship Id="rId4" Type="http://schemas.openxmlformats.org/officeDocument/2006/relationships/hyperlink" Target="mailto:j.herault@angelfreight.d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ushan@transcocargo.com.au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logis.wca@kobelco.com" TargetMode="External"/><Relationship Id="rId3" Type="http://schemas.openxmlformats.org/officeDocument/2006/relationships/hyperlink" Target="mailto:miyama@apexintl.co.jp" TargetMode="External"/><Relationship Id="rId7" Type="http://schemas.openxmlformats.org/officeDocument/2006/relationships/hyperlink" Target="mailto:sht@ntgairocean.com" TargetMode="External"/><Relationship Id="rId2" Type="http://schemas.openxmlformats.org/officeDocument/2006/relationships/hyperlink" Target="mailto:s.iwashima@sanyo-logi.com" TargetMode="External"/><Relationship Id="rId1" Type="http://schemas.openxmlformats.org/officeDocument/2006/relationships/hyperlink" Target="mailto:a-furuichi@jctyo.co.jp" TargetMode="External"/><Relationship Id="rId6" Type="http://schemas.openxmlformats.org/officeDocument/2006/relationships/hyperlink" Target="mailto:Nihon.Eigyoubu@barsan.com" TargetMode="External"/><Relationship Id="rId5" Type="http://schemas.openxmlformats.org/officeDocument/2006/relationships/hyperlink" Target="mailto:tyo@familyexp.com" TargetMode="External"/><Relationship Id="rId4" Type="http://schemas.openxmlformats.org/officeDocument/2006/relationships/hyperlink" Target="mailto:yuki.shimizu@dgxjapan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yeekiat.chong@plg-logistics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p.grand@worldcargo.it" TargetMode="External"/><Relationship Id="rId2" Type="http://schemas.openxmlformats.org/officeDocument/2006/relationships/hyperlink" Target="mailto:fiani.anthony@vectorspa.it" TargetMode="External"/><Relationship Id="rId1" Type="http://schemas.openxmlformats.org/officeDocument/2006/relationships/hyperlink" Target="mailto:iacopo.marchi@tag-italia.ne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ams@dutchqargo.com" TargetMode="External"/><Relationship Id="rId2" Type="http://schemas.openxmlformats.org/officeDocument/2006/relationships/hyperlink" Target="mailto:ricardo.de.haan@rotra.nl" TargetMode="External"/><Relationship Id="rId1" Type="http://schemas.openxmlformats.org/officeDocument/2006/relationships/hyperlink" Target="mailto:joost.rotteveel@dl.nl" TargetMode="External"/><Relationship Id="rId5" Type="http://schemas.openxmlformats.org/officeDocument/2006/relationships/hyperlink" Target="mailto:air@gd-its.com" TargetMode="External"/><Relationship Id="rId4" Type="http://schemas.openxmlformats.org/officeDocument/2006/relationships/hyperlink" Target="mailto:Ed.Roest@clearfreight.n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kang@paxlogis.com" TargetMode="External"/><Relationship Id="rId2" Type="http://schemas.openxmlformats.org/officeDocument/2006/relationships/hyperlink" Target="mailto:air@borgairsea.co.kr" TargetMode="External"/><Relationship Id="rId1" Type="http://schemas.openxmlformats.org/officeDocument/2006/relationships/hyperlink" Target="mailto:luiz_kang@awot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E1013"/>
  <sheetViews>
    <sheetView tabSelected="1" workbookViewId="0">
      <selection activeCell="D2" sqref="D2"/>
    </sheetView>
  </sheetViews>
  <sheetFormatPr defaultColWidth="12.5703125" defaultRowHeight="15.75" customHeight="1" x14ac:dyDescent="0.2"/>
  <cols>
    <col min="1" max="1" width="43.42578125" customWidth="1"/>
    <col min="2" max="2" width="6.28515625" customWidth="1"/>
    <col min="3" max="3" width="32.7109375" customWidth="1"/>
    <col min="4" max="4" width="17.5703125" customWidth="1"/>
    <col min="7" max="7" width="8.85546875" customWidth="1"/>
    <col min="8" max="8" width="15.85546875" customWidth="1"/>
    <col min="9" max="9" width="25.140625" customWidth="1"/>
    <col min="10" max="10" width="8.5703125" customWidth="1"/>
    <col min="11" max="11" width="7.5703125" customWidth="1"/>
    <col min="12" max="12" width="9.42578125" customWidth="1"/>
    <col min="13" max="13" width="7.28515625" customWidth="1"/>
    <col min="14" max="14" width="17.7109375" customWidth="1"/>
  </cols>
  <sheetData>
    <row r="1" spans="1:31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5" x14ac:dyDescent="0.25">
      <c r="A2" s="5" t="s">
        <v>18</v>
      </c>
      <c r="B2" s="6" t="str">
        <f t="shared" ref="B2:B4" si="0">UPPER(LEFT(A2, 3))</f>
        <v>AMA</v>
      </c>
      <c r="C2" s="7" t="s">
        <v>19</v>
      </c>
      <c r="D2" s="8" t="s">
        <v>20</v>
      </c>
      <c r="E2" s="7"/>
      <c r="F2" s="7" t="s">
        <v>21</v>
      </c>
      <c r="G2" s="7" t="s">
        <v>22</v>
      </c>
      <c r="H2" s="7" t="s">
        <v>23</v>
      </c>
      <c r="I2" s="7" t="s">
        <v>24</v>
      </c>
      <c r="J2" s="9" t="s">
        <v>25</v>
      </c>
      <c r="K2" s="9" t="s">
        <v>26</v>
      </c>
      <c r="L2" s="4" t="s">
        <v>27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1" ht="15" x14ac:dyDescent="0.25">
      <c r="A3" s="5" t="s">
        <v>28</v>
      </c>
      <c r="B3" s="6" t="str">
        <f t="shared" si="0"/>
        <v>CTS</v>
      </c>
      <c r="C3" s="7" t="s">
        <v>29</v>
      </c>
      <c r="D3" s="7"/>
      <c r="E3" s="7"/>
      <c r="F3" s="7" t="s">
        <v>30</v>
      </c>
      <c r="G3" s="7" t="s">
        <v>31</v>
      </c>
      <c r="H3" s="7" t="s">
        <v>32</v>
      </c>
      <c r="I3" s="7" t="s">
        <v>33</v>
      </c>
      <c r="J3" s="9" t="s">
        <v>25</v>
      </c>
      <c r="K3" s="9" t="s">
        <v>26</v>
      </c>
      <c r="L3" s="4" t="s">
        <v>27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ht="15" x14ac:dyDescent="0.25">
      <c r="A4" s="5" t="s">
        <v>34</v>
      </c>
      <c r="B4" s="6" t="str">
        <f t="shared" si="0"/>
        <v>SHE</v>
      </c>
      <c r="C4" s="7" t="s">
        <v>35</v>
      </c>
      <c r="D4" s="7" t="s">
        <v>36</v>
      </c>
      <c r="E4" s="7"/>
      <c r="F4" s="7" t="s">
        <v>37</v>
      </c>
      <c r="G4" s="7" t="s">
        <v>38</v>
      </c>
      <c r="H4" s="7" t="s">
        <v>39</v>
      </c>
      <c r="I4" s="7" t="s">
        <v>40</v>
      </c>
      <c r="J4" s="9" t="s">
        <v>25</v>
      </c>
      <c r="K4" s="9" t="s">
        <v>26</v>
      </c>
      <c r="L4" s="4" t="s">
        <v>27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ht="15" hidden="1" x14ac:dyDescent="0.25">
      <c r="A5" s="5" t="s">
        <v>41</v>
      </c>
      <c r="B5" s="6" t="s">
        <v>42</v>
      </c>
      <c r="C5" s="7" t="s">
        <v>43</v>
      </c>
      <c r="D5" s="7" t="s">
        <v>44</v>
      </c>
      <c r="E5" s="7"/>
      <c r="F5" s="7" t="s">
        <v>45</v>
      </c>
      <c r="G5" s="7" t="s">
        <v>46</v>
      </c>
      <c r="H5" s="7" t="s">
        <v>23</v>
      </c>
      <c r="I5" s="7" t="s">
        <v>47</v>
      </c>
      <c r="J5" s="9" t="s">
        <v>26</v>
      </c>
      <c r="K5" s="9" t="s">
        <v>25</v>
      </c>
      <c r="L5" s="4" t="s">
        <v>48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5" x14ac:dyDescent="0.25">
      <c r="A6" s="5" t="s">
        <v>49</v>
      </c>
      <c r="B6" s="6" t="str">
        <f>UPPER(LEFT(A6, 3))</f>
        <v>EVE</v>
      </c>
      <c r="C6" s="7" t="s">
        <v>50</v>
      </c>
      <c r="D6" s="7" t="s">
        <v>51</v>
      </c>
      <c r="E6" s="7"/>
      <c r="F6" s="7" t="s">
        <v>52</v>
      </c>
      <c r="G6" s="7" t="s">
        <v>53</v>
      </c>
      <c r="H6" s="7" t="s">
        <v>39</v>
      </c>
      <c r="I6" s="7" t="s">
        <v>54</v>
      </c>
      <c r="J6" s="9" t="s">
        <v>25</v>
      </c>
      <c r="K6" s="9" t="s">
        <v>26</v>
      </c>
      <c r="L6" s="4" t="s">
        <v>27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5" x14ac:dyDescent="0.25">
      <c r="A7" s="5" t="s">
        <v>49</v>
      </c>
      <c r="B7" s="6" t="s">
        <v>55</v>
      </c>
      <c r="C7" s="7" t="s">
        <v>56</v>
      </c>
      <c r="D7" s="7" t="s">
        <v>57</v>
      </c>
      <c r="E7" s="7"/>
      <c r="F7" s="7" t="s">
        <v>58</v>
      </c>
      <c r="G7" s="7" t="s">
        <v>59</v>
      </c>
      <c r="H7" s="7" t="s">
        <v>60</v>
      </c>
      <c r="I7" s="7" t="s">
        <v>61</v>
      </c>
      <c r="J7" s="9" t="s">
        <v>25</v>
      </c>
      <c r="K7" s="9" t="s">
        <v>26</v>
      </c>
      <c r="L7" s="4" t="s">
        <v>27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15" x14ac:dyDescent="0.25">
      <c r="A8" s="5" t="s">
        <v>62</v>
      </c>
      <c r="B8" s="6" t="str">
        <f>UPPER(LEFT(A8, 3))</f>
        <v>BES</v>
      </c>
      <c r="C8" s="7" t="s">
        <v>63</v>
      </c>
      <c r="D8" s="7" t="s">
        <v>64</v>
      </c>
      <c r="E8" s="7"/>
      <c r="F8" s="7" t="s">
        <v>65</v>
      </c>
      <c r="G8" s="7" t="s">
        <v>66</v>
      </c>
      <c r="H8" s="7" t="s">
        <v>23</v>
      </c>
      <c r="I8" s="7" t="s">
        <v>67</v>
      </c>
      <c r="J8" s="9" t="s">
        <v>25</v>
      </c>
      <c r="K8" s="9" t="s">
        <v>26</v>
      </c>
      <c r="L8" s="4" t="s">
        <v>27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ht="15" hidden="1" x14ac:dyDescent="0.25">
      <c r="A9" s="5" t="s">
        <v>62</v>
      </c>
      <c r="B9" s="6" t="s">
        <v>68</v>
      </c>
      <c r="C9" s="6" t="s">
        <v>69</v>
      </c>
      <c r="D9" s="7" t="s">
        <v>70</v>
      </c>
      <c r="E9" s="6"/>
      <c r="F9" s="6" t="s">
        <v>71</v>
      </c>
      <c r="G9" s="6" t="s">
        <v>72</v>
      </c>
      <c r="H9" s="6" t="s">
        <v>73</v>
      </c>
      <c r="I9" s="6" t="s">
        <v>74</v>
      </c>
      <c r="J9" s="9" t="s">
        <v>26</v>
      </c>
      <c r="K9" s="9" t="s">
        <v>25</v>
      </c>
      <c r="L9" s="4" t="s">
        <v>48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5" x14ac:dyDescent="0.25">
      <c r="A10" s="5" t="s">
        <v>62</v>
      </c>
      <c r="B10" s="6" t="s">
        <v>68</v>
      </c>
      <c r="C10" s="6" t="s">
        <v>75</v>
      </c>
      <c r="D10" s="7" t="s">
        <v>76</v>
      </c>
      <c r="E10" s="6"/>
      <c r="F10" s="6" t="s">
        <v>77</v>
      </c>
      <c r="G10" s="6" t="s">
        <v>78</v>
      </c>
      <c r="H10" s="6" t="s">
        <v>39</v>
      </c>
      <c r="I10" s="6" t="s">
        <v>67</v>
      </c>
      <c r="J10" s="9" t="s">
        <v>25</v>
      </c>
      <c r="K10" s="9" t="s">
        <v>26</v>
      </c>
      <c r="L10" s="4" t="s">
        <v>27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5" x14ac:dyDescent="0.25">
      <c r="A11" s="5" t="s">
        <v>79</v>
      </c>
      <c r="B11" s="6" t="str">
        <f t="shared" ref="B11:B18" si="1">UPPER(LEFT(A11, 3))</f>
        <v>SHE</v>
      </c>
      <c r="C11" s="7" t="s">
        <v>80</v>
      </c>
      <c r="D11" s="7" t="s">
        <v>81</v>
      </c>
      <c r="E11" s="7"/>
      <c r="F11" s="7" t="s">
        <v>82</v>
      </c>
      <c r="G11" s="7" t="s">
        <v>83</v>
      </c>
      <c r="H11" s="7" t="s">
        <v>84</v>
      </c>
      <c r="I11" s="7" t="s">
        <v>85</v>
      </c>
      <c r="J11" s="9" t="s">
        <v>25</v>
      </c>
      <c r="K11" s="9" t="s">
        <v>26</v>
      </c>
      <c r="L11" s="4" t="s">
        <v>27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5" x14ac:dyDescent="0.25">
      <c r="A12" s="5" t="s">
        <v>86</v>
      </c>
      <c r="B12" s="6" t="str">
        <f t="shared" si="1"/>
        <v>DMU</v>
      </c>
      <c r="C12" s="7" t="s">
        <v>87</v>
      </c>
      <c r="D12" s="7" t="s">
        <v>88</v>
      </c>
      <c r="E12" s="7"/>
      <c r="F12" s="7" t="s">
        <v>89</v>
      </c>
      <c r="G12" s="7" t="s">
        <v>90</v>
      </c>
      <c r="H12" s="7" t="s">
        <v>23</v>
      </c>
      <c r="I12" s="7" t="s">
        <v>91</v>
      </c>
      <c r="J12" s="9" t="s">
        <v>25</v>
      </c>
      <c r="K12" s="9" t="s">
        <v>26</v>
      </c>
      <c r="L12" s="4" t="s">
        <v>27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5" x14ac:dyDescent="0.25">
      <c r="A13" s="5" t="s">
        <v>92</v>
      </c>
      <c r="B13" s="6" t="str">
        <f t="shared" si="1"/>
        <v>ADV</v>
      </c>
      <c r="C13" s="6" t="s">
        <v>93</v>
      </c>
      <c r="D13" s="7" t="s">
        <v>94</v>
      </c>
      <c r="E13" s="7"/>
      <c r="F13" s="7" t="s">
        <v>95</v>
      </c>
      <c r="G13" s="7" t="s">
        <v>96</v>
      </c>
      <c r="H13" s="7" t="s">
        <v>39</v>
      </c>
      <c r="I13" s="7" t="s">
        <v>97</v>
      </c>
      <c r="J13" s="9" t="s">
        <v>25</v>
      </c>
      <c r="K13" s="9" t="s">
        <v>26</v>
      </c>
      <c r="L13" s="4" t="s">
        <v>27</v>
      </c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5" x14ac:dyDescent="0.25">
      <c r="A14" s="5" t="s">
        <v>98</v>
      </c>
      <c r="B14" s="6" t="str">
        <f t="shared" si="1"/>
        <v xml:space="preserve">HT </v>
      </c>
      <c r="C14" s="6" t="s">
        <v>99</v>
      </c>
      <c r="D14" s="7" t="s">
        <v>100</v>
      </c>
      <c r="E14" s="7" t="s">
        <v>101</v>
      </c>
      <c r="F14" s="7" t="s">
        <v>102</v>
      </c>
      <c r="G14" s="7"/>
      <c r="H14" s="7" t="s">
        <v>103</v>
      </c>
      <c r="I14" s="7" t="s">
        <v>97</v>
      </c>
      <c r="J14" s="9" t="s">
        <v>25</v>
      </c>
      <c r="K14" s="9" t="s">
        <v>26</v>
      </c>
      <c r="L14" s="4" t="s">
        <v>27</v>
      </c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15" x14ac:dyDescent="0.25">
      <c r="A15" s="5" t="s">
        <v>104</v>
      </c>
      <c r="B15" s="6" t="str">
        <f t="shared" si="1"/>
        <v>REA</v>
      </c>
      <c r="C15" s="7" t="s">
        <v>105</v>
      </c>
      <c r="D15" s="7" t="s">
        <v>106</v>
      </c>
      <c r="E15" s="6"/>
      <c r="F15" s="6" t="s">
        <v>107</v>
      </c>
      <c r="G15" s="6" t="s">
        <v>108</v>
      </c>
      <c r="H15" s="6"/>
      <c r="I15" s="6" t="s">
        <v>109</v>
      </c>
      <c r="J15" s="9" t="s">
        <v>25</v>
      </c>
      <c r="K15" s="9" t="s">
        <v>26</v>
      </c>
      <c r="L15" s="4" t="s">
        <v>27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5" x14ac:dyDescent="0.25">
      <c r="A16" s="12" t="s">
        <v>110</v>
      </c>
      <c r="B16" s="6" t="str">
        <f t="shared" si="1"/>
        <v>QIN</v>
      </c>
      <c r="C16" s="6" t="s">
        <v>111</v>
      </c>
      <c r="D16" s="7" t="s">
        <v>112</v>
      </c>
      <c r="E16" s="6"/>
      <c r="F16" s="6" t="s">
        <v>113</v>
      </c>
      <c r="G16" s="6" t="s">
        <v>114</v>
      </c>
      <c r="H16" s="6" t="s">
        <v>115</v>
      </c>
      <c r="I16" s="6" t="s">
        <v>116</v>
      </c>
      <c r="J16" s="9" t="s">
        <v>26</v>
      </c>
      <c r="K16" s="9" t="s">
        <v>26</v>
      </c>
      <c r="L16" s="4" t="s">
        <v>27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5" x14ac:dyDescent="0.25">
      <c r="A17" s="12" t="s">
        <v>117</v>
      </c>
      <c r="B17" s="6" t="str">
        <f t="shared" si="1"/>
        <v>SHE</v>
      </c>
      <c r="C17" s="6" t="s">
        <v>118</v>
      </c>
      <c r="D17" s="7" t="s">
        <v>119</v>
      </c>
      <c r="E17" s="6"/>
      <c r="F17" s="6" t="s">
        <v>120</v>
      </c>
      <c r="G17" s="6"/>
      <c r="H17" s="6" t="s">
        <v>39</v>
      </c>
      <c r="I17" s="6" t="s">
        <v>121</v>
      </c>
      <c r="J17" s="9" t="s">
        <v>25</v>
      </c>
      <c r="K17" s="9" t="s">
        <v>26</v>
      </c>
      <c r="L17" s="4" t="s">
        <v>27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ht="15" hidden="1" x14ac:dyDescent="0.25">
      <c r="A18" s="12" t="s">
        <v>122</v>
      </c>
      <c r="B18" s="6" t="str">
        <f t="shared" si="1"/>
        <v>SHE</v>
      </c>
      <c r="C18" s="6" t="s">
        <v>123</v>
      </c>
      <c r="D18" s="7" t="s">
        <v>124</v>
      </c>
      <c r="E18" s="6"/>
      <c r="F18" s="6" t="s">
        <v>125</v>
      </c>
      <c r="G18" s="6" t="s">
        <v>126</v>
      </c>
      <c r="H18" s="6" t="s">
        <v>127</v>
      </c>
      <c r="I18" s="6" t="s">
        <v>128</v>
      </c>
      <c r="J18" s="9" t="s">
        <v>25</v>
      </c>
      <c r="K18" s="9" t="s">
        <v>26</v>
      </c>
      <c r="L18" s="4" t="s">
        <v>48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5" x14ac:dyDescent="0.25">
      <c r="A19" s="12" t="s">
        <v>129</v>
      </c>
      <c r="B19" s="6" t="s">
        <v>130</v>
      </c>
      <c r="C19" s="6" t="s">
        <v>131</v>
      </c>
      <c r="D19" s="7" t="s">
        <v>132</v>
      </c>
      <c r="E19" s="6"/>
      <c r="F19" s="6" t="s">
        <v>133</v>
      </c>
      <c r="G19" s="6" t="s">
        <v>134</v>
      </c>
      <c r="H19" s="6" t="s">
        <v>115</v>
      </c>
      <c r="I19" s="6" t="s">
        <v>135</v>
      </c>
      <c r="J19" s="9" t="s">
        <v>25</v>
      </c>
      <c r="K19" s="9" t="s">
        <v>26</v>
      </c>
      <c r="L19" s="4" t="s">
        <v>27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5" x14ac:dyDescent="0.25">
      <c r="A20" s="12" t="s">
        <v>136</v>
      </c>
      <c r="B20" s="6" t="str">
        <f>UPPER(LEFT(A20, 3))</f>
        <v>NIN</v>
      </c>
      <c r="C20" s="6" t="s">
        <v>137</v>
      </c>
      <c r="D20" s="7" t="s">
        <v>138</v>
      </c>
      <c r="E20" s="6"/>
      <c r="F20" s="6" t="s">
        <v>139</v>
      </c>
      <c r="G20" s="6"/>
      <c r="H20" s="6" t="s">
        <v>103</v>
      </c>
      <c r="I20" s="6" t="s">
        <v>140</v>
      </c>
      <c r="J20" s="9" t="s">
        <v>25</v>
      </c>
      <c r="K20" s="9" t="s">
        <v>26</v>
      </c>
      <c r="L20" s="4" t="s">
        <v>27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15" x14ac:dyDescent="0.25">
      <c r="A21" s="12" t="s">
        <v>136</v>
      </c>
      <c r="B21" s="6" t="s">
        <v>141</v>
      </c>
      <c r="C21" s="6" t="s">
        <v>142</v>
      </c>
      <c r="D21" s="7" t="s">
        <v>143</v>
      </c>
      <c r="E21" s="6"/>
      <c r="F21" s="6" t="s">
        <v>144</v>
      </c>
      <c r="G21" s="6"/>
      <c r="H21" s="6" t="s">
        <v>115</v>
      </c>
      <c r="I21" s="6" t="s">
        <v>135</v>
      </c>
      <c r="J21" s="9" t="s">
        <v>25</v>
      </c>
      <c r="K21" s="9" t="s">
        <v>26</v>
      </c>
      <c r="L21" s="4" t="s">
        <v>27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15" x14ac:dyDescent="0.25">
      <c r="A22" s="12" t="s">
        <v>136</v>
      </c>
      <c r="B22" s="6" t="s">
        <v>141</v>
      </c>
      <c r="C22" s="6" t="s">
        <v>145</v>
      </c>
      <c r="D22" s="7" t="s">
        <v>146</v>
      </c>
      <c r="E22" s="6"/>
      <c r="F22" s="6" t="s">
        <v>147</v>
      </c>
      <c r="G22" s="6" t="s">
        <v>148</v>
      </c>
      <c r="H22" s="6" t="s">
        <v>127</v>
      </c>
      <c r="I22" s="6" t="s">
        <v>135</v>
      </c>
      <c r="J22" s="9" t="s">
        <v>25</v>
      </c>
      <c r="K22" s="9" t="s">
        <v>26</v>
      </c>
      <c r="L22" s="4" t="s">
        <v>27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15" x14ac:dyDescent="0.25">
      <c r="A23" s="12" t="s">
        <v>149</v>
      </c>
      <c r="B23" s="6" t="s">
        <v>150</v>
      </c>
      <c r="C23" s="6" t="s">
        <v>151</v>
      </c>
      <c r="D23" s="7" t="s">
        <v>152</v>
      </c>
      <c r="E23" s="6"/>
      <c r="F23" s="6" t="s">
        <v>153</v>
      </c>
      <c r="G23" s="6" t="s">
        <v>154</v>
      </c>
      <c r="H23" s="6" t="s">
        <v>115</v>
      </c>
      <c r="I23" s="6" t="s">
        <v>155</v>
      </c>
      <c r="J23" s="9" t="s">
        <v>25</v>
      </c>
      <c r="K23" s="9" t="s">
        <v>26</v>
      </c>
      <c r="L23" s="4" t="s">
        <v>27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15" x14ac:dyDescent="0.25">
      <c r="A24" s="12" t="s">
        <v>156</v>
      </c>
      <c r="B24" s="6" t="s">
        <v>157</v>
      </c>
      <c r="C24" s="6" t="s">
        <v>158</v>
      </c>
      <c r="D24" s="6" t="s">
        <v>159</v>
      </c>
      <c r="E24" s="6"/>
      <c r="F24" s="6" t="s">
        <v>160</v>
      </c>
      <c r="G24" s="6" t="s">
        <v>161</v>
      </c>
      <c r="H24" s="6" t="s">
        <v>115</v>
      </c>
      <c r="I24" s="6" t="s">
        <v>162</v>
      </c>
      <c r="J24" s="9" t="s">
        <v>25</v>
      </c>
      <c r="K24" s="9" t="s">
        <v>26</v>
      </c>
      <c r="L24" s="4" t="s">
        <v>27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5" hidden="1" x14ac:dyDescent="0.25">
      <c r="A25" s="12" t="s">
        <v>163</v>
      </c>
      <c r="B25" s="6" t="s">
        <v>164</v>
      </c>
      <c r="C25" s="6" t="s">
        <v>165</v>
      </c>
      <c r="D25" s="6"/>
      <c r="E25" s="6"/>
      <c r="F25" s="6" t="s">
        <v>166</v>
      </c>
      <c r="G25" s="6"/>
      <c r="H25" s="6" t="s">
        <v>73</v>
      </c>
      <c r="I25" s="6" t="s">
        <v>167</v>
      </c>
      <c r="J25" s="9"/>
      <c r="K25" s="9"/>
      <c r="L25" s="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5" hidden="1" x14ac:dyDescent="0.25">
      <c r="A26" s="12" t="s">
        <v>168</v>
      </c>
      <c r="B26" s="6" t="str">
        <f>UPPER(LEFT(A26, 3))</f>
        <v>GUL</v>
      </c>
      <c r="C26" s="6" t="s">
        <v>169</v>
      </c>
      <c r="D26" s="6" t="s">
        <v>170</v>
      </c>
      <c r="E26" s="6"/>
      <c r="F26" s="6" t="s">
        <v>171</v>
      </c>
      <c r="G26" s="6" t="s">
        <v>172</v>
      </c>
      <c r="H26" s="6" t="s">
        <v>73</v>
      </c>
      <c r="I26" s="6" t="s">
        <v>173</v>
      </c>
      <c r="J26" s="9" t="s">
        <v>26</v>
      </c>
      <c r="K26" s="9" t="s">
        <v>25</v>
      </c>
      <c r="L26" s="4" t="s">
        <v>48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15" x14ac:dyDescent="0.25">
      <c r="A27" s="12" t="s">
        <v>174</v>
      </c>
      <c r="B27" s="6" t="s">
        <v>175</v>
      </c>
      <c r="C27" s="6" t="s">
        <v>176</v>
      </c>
      <c r="D27" s="6" t="s">
        <v>177</v>
      </c>
      <c r="E27" s="6"/>
      <c r="F27" s="6" t="s">
        <v>178</v>
      </c>
      <c r="G27" s="6"/>
      <c r="H27" s="6" t="s">
        <v>115</v>
      </c>
      <c r="I27" s="6" t="s">
        <v>179</v>
      </c>
      <c r="J27" s="9" t="s">
        <v>25</v>
      </c>
      <c r="K27" s="9" t="s">
        <v>26</v>
      </c>
      <c r="L27" s="4" t="s">
        <v>27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5" x14ac:dyDescent="0.25">
      <c r="A28" s="12" t="s">
        <v>180</v>
      </c>
      <c r="B28" s="6" t="str">
        <f>UPPER(LEFT(A28, 3))</f>
        <v>SHE</v>
      </c>
      <c r="C28" s="6" t="s">
        <v>181</v>
      </c>
      <c r="D28" s="6"/>
      <c r="E28" s="6"/>
      <c r="F28" s="6" t="s">
        <v>182</v>
      </c>
      <c r="G28" s="6"/>
      <c r="H28" s="6" t="s">
        <v>127</v>
      </c>
      <c r="I28" s="6" t="s">
        <v>135</v>
      </c>
      <c r="J28" s="9" t="s">
        <v>25</v>
      </c>
      <c r="K28" s="9" t="s">
        <v>26</v>
      </c>
      <c r="L28" s="4" t="s">
        <v>27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5" x14ac:dyDescent="0.25">
      <c r="A29" s="12" t="s">
        <v>183</v>
      </c>
      <c r="B29" s="6" t="s">
        <v>184</v>
      </c>
      <c r="C29" s="6" t="s">
        <v>185</v>
      </c>
      <c r="D29" s="6" t="s">
        <v>186</v>
      </c>
      <c r="E29" s="6"/>
      <c r="F29" s="6" t="s">
        <v>187</v>
      </c>
      <c r="G29" s="6" t="s">
        <v>188</v>
      </c>
      <c r="H29" s="6" t="s">
        <v>189</v>
      </c>
      <c r="I29" s="6" t="s">
        <v>190</v>
      </c>
      <c r="J29" s="9" t="s">
        <v>25</v>
      </c>
      <c r="K29" s="9" t="s">
        <v>26</v>
      </c>
      <c r="L29" s="4" t="s">
        <v>27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ht="15" x14ac:dyDescent="0.25">
      <c r="A30" s="12" t="s">
        <v>183</v>
      </c>
      <c r="B30" s="6" t="s">
        <v>184</v>
      </c>
      <c r="C30" s="6" t="s">
        <v>191</v>
      </c>
      <c r="D30" s="6" t="s">
        <v>192</v>
      </c>
      <c r="E30" s="6"/>
      <c r="F30" s="6" t="s">
        <v>193</v>
      </c>
      <c r="G30" s="6" t="s">
        <v>188</v>
      </c>
      <c r="H30" s="6" t="s">
        <v>194</v>
      </c>
      <c r="I30" s="6" t="s">
        <v>140</v>
      </c>
      <c r="J30" s="9" t="s">
        <v>25</v>
      </c>
      <c r="K30" s="9" t="s">
        <v>26</v>
      </c>
      <c r="L30" s="4" t="s">
        <v>27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5" x14ac:dyDescent="0.25">
      <c r="A31" s="12" t="s">
        <v>195</v>
      </c>
      <c r="B31" s="6" t="s">
        <v>196</v>
      </c>
      <c r="C31" s="6" t="s">
        <v>197</v>
      </c>
      <c r="D31" s="7" t="s">
        <v>198</v>
      </c>
      <c r="E31" s="6"/>
      <c r="F31" s="6" t="s">
        <v>199</v>
      </c>
      <c r="G31" s="6"/>
      <c r="H31" s="6" t="s">
        <v>115</v>
      </c>
      <c r="I31" s="6" t="s">
        <v>200</v>
      </c>
      <c r="J31" s="9" t="s">
        <v>25</v>
      </c>
      <c r="K31" s="9" t="s">
        <v>26</v>
      </c>
      <c r="L31" s="4" t="s">
        <v>27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" x14ac:dyDescent="0.25">
      <c r="A32" s="12" t="s">
        <v>201</v>
      </c>
      <c r="B32" s="6" t="s">
        <v>202</v>
      </c>
      <c r="C32" s="6" t="s">
        <v>203</v>
      </c>
      <c r="D32" s="7" t="s">
        <v>204</v>
      </c>
      <c r="E32" s="6"/>
      <c r="F32" s="6" t="s">
        <v>205</v>
      </c>
      <c r="G32" s="6"/>
      <c r="H32" s="6" t="s">
        <v>206</v>
      </c>
      <c r="I32" s="6" t="s">
        <v>135</v>
      </c>
      <c r="J32" s="9" t="s">
        <v>25</v>
      </c>
      <c r="K32" s="9" t="s">
        <v>26</v>
      </c>
      <c r="L32" s="4" t="s">
        <v>27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ht="15" x14ac:dyDescent="0.25">
      <c r="A33" s="12"/>
      <c r="B33" s="6"/>
      <c r="C33" s="6"/>
      <c r="D33" s="7"/>
      <c r="E33" s="6"/>
      <c r="F33" s="6"/>
      <c r="G33" s="6"/>
      <c r="H33" s="6"/>
      <c r="I33" s="6"/>
      <c r="J33" s="9"/>
      <c r="K33" s="9"/>
      <c r="L33" s="4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5" x14ac:dyDescent="0.25">
      <c r="A34" s="13"/>
      <c r="B34" s="10" t="str">
        <f t="shared" ref="B34:B36" si="2">UPPER(LEFT(A34, 3))</f>
        <v/>
      </c>
      <c r="C34" s="10"/>
      <c r="D34" s="10"/>
      <c r="E34" s="10"/>
      <c r="F34" s="10"/>
      <c r="G34" s="10"/>
      <c r="H34" s="10"/>
      <c r="I34" s="10"/>
      <c r="J34" s="9"/>
      <c r="K34" s="9"/>
      <c r="L34" s="4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15" x14ac:dyDescent="0.25">
      <c r="A35" s="10"/>
      <c r="B35" s="10" t="str">
        <f t="shared" si="2"/>
        <v/>
      </c>
      <c r="C35" s="10"/>
      <c r="D35" s="10"/>
      <c r="E35" s="10"/>
      <c r="F35" s="10"/>
      <c r="G35" s="10"/>
      <c r="H35" s="10"/>
      <c r="I35" s="10"/>
      <c r="J35" s="9"/>
      <c r="K35" s="9"/>
      <c r="L35" s="4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15" x14ac:dyDescent="0.25">
      <c r="A36" s="10"/>
      <c r="B36" s="10" t="str">
        <f t="shared" si="2"/>
        <v/>
      </c>
      <c r="C36" s="10"/>
      <c r="D36" s="10"/>
      <c r="E36" s="10"/>
      <c r="F36" s="10"/>
      <c r="G36" s="10"/>
      <c r="H36" s="10"/>
      <c r="I36" s="10"/>
      <c r="J36" s="9"/>
      <c r="K36" s="9"/>
      <c r="L36" s="4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9"/>
      <c r="K37" s="9"/>
      <c r="L37" s="4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9"/>
      <c r="K38" s="9"/>
      <c r="L38" s="4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ht="1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9"/>
      <c r="K39" s="9"/>
      <c r="L39" s="4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ht="1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9"/>
      <c r="K40" s="9"/>
      <c r="L40" s="4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9"/>
      <c r="K41" s="9"/>
      <c r="L41" s="4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ht="1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4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4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ht="1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4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ht="1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4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1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4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4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1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4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4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4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ht="1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4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1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1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ht="1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ht="1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ht="1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ht="1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ht="1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1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4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ht="1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4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1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4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ht="1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ht="1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ht="1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ht="1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ht="1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 ht="1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ht="1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4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 ht="1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4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ht="1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4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ht="1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4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pans="1:31" ht="1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4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ht="1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4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ht="1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4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ht="1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4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1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4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4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ht="1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4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1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4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ht="1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4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ht="1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4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4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1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4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ht="1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4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ht="1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4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ht="1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4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 ht="1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4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ht="15" x14ac:dyDescent="0.25">
      <c r="A88" s="10"/>
      <c r="B88" s="10"/>
      <c r="C88" s="6" t="s">
        <v>207</v>
      </c>
      <c r="D88" s="10"/>
      <c r="E88" s="10"/>
      <c r="F88" s="10"/>
      <c r="G88" s="10"/>
      <c r="H88" s="10"/>
      <c r="I88" s="10"/>
      <c r="J88" s="10"/>
      <c r="K88" s="10"/>
      <c r="L88" s="4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ht="15" x14ac:dyDescent="0.25">
      <c r="A89" s="10"/>
      <c r="B89" s="10"/>
      <c r="C89" s="6" t="s">
        <v>208</v>
      </c>
      <c r="D89" s="10"/>
      <c r="E89" s="10"/>
      <c r="F89" s="10"/>
      <c r="G89" s="10"/>
      <c r="H89" s="10"/>
      <c r="I89" s="10"/>
      <c r="J89" s="10"/>
      <c r="K89" s="10"/>
      <c r="L89" s="4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ht="15" x14ac:dyDescent="0.25">
      <c r="A90" s="10"/>
      <c r="B90" s="10"/>
      <c r="C90" s="14" t="s">
        <v>209</v>
      </c>
      <c r="D90" s="10"/>
      <c r="E90" s="10"/>
      <c r="F90" s="10"/>
      <c r="G90" s="10"/>
      <c r="H90" s="10"/>
      <c r="I90" s="10"/>
      <c r="J90" s="10"/>
      <c r="K90" s="10"/>
      <c r="L90" s="4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ht="15" x14ac:dyDescent="0.25">
      <c r="A91" s="10"/>
      <c r="B91" s="10"/>
      <c r="C91" s="14" t="s">
        <v>210</v>
      </c>
      <c r="D91" s="10"/>
      <c r="E91" s="10"/>
      <c r="F91" s="10"/>
      <c r="G91" s="10"/>
      <c r="H91" s="10"/>
      <c r="I91" s="10"/>
      <c r="J91" s="10"/>
      <c r="K91" s="10"/>
      <c r="L91" s="4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ht="1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4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 ht="1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4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ht="1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4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ht="1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4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spans="1:31" ht="1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4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ht="1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4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ht="1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4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 ht="1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4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ht="1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4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ht="1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4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ht="1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4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ht="1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4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ht="1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4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ht="1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4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ht="1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4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ht="1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4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ht="1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4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 ht="1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4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ht="1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4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 ht="1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4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ht="1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4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ht="1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4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pans="1:31" ht="1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4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ht="1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4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ht="1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4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 ht="1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4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ht="1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4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ht="1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4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1:31" ht="1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4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ht="1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4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ht="1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4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ht="1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4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spans="1:31" ht="1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4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ht="1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4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spans="1:31" ht="1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4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 ht="1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4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spans="1:31" ht="1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4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ht="1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4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spans="1:31" ht="1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4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ht="1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4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ht="1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4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1:31" ht="1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4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spans="1:31" ht="1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4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ht="1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4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1:31" ht="1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4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ht="1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4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ht="1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4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 ht="1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4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spans="1:31" ht="1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4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ht="1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4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ht="1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4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ht="1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4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ht="1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4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ht="1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4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ht="1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4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ht="1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4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ht="1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4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ht="1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4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ht="1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4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ht="1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4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ht="1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4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ht="1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4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ht="1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4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ht="1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4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ht="1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4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 ht="1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4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ht="1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4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ht="1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4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ht="1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4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ht="1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4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ht="1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4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ht="1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4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ht="1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4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ht="1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4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ht="1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4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ht="1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4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ht="1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4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ht="1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4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ht="1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4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ht="1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4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t="1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4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ht="1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4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ht="1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4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ht="1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4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ht="1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4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ht="1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4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ht="1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4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ht="1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4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1:31" ht="1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4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 ht="1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4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1:31" ht="1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4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 ht="1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4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ht="1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4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ht="1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4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ht="1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4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ht="1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4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1:31" ht="1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4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ht="1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4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ht="1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4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ht="1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4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 ht="1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4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ht="1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4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ht="1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4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ht="1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4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1:31" ht="1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4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ht="1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4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1:31" ht="1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4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 ht="1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4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ht="1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4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 ht="1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4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spans="1:31" ht="1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4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1:31" ht="1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4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1:31" ht="1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4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1:31" ht="1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4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spans="1:31" ht="1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4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1:31" ht="1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4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1:31" ht="1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4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 ht="1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4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ht="1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4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1:31" ht="1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4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1:31" ht="1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4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 ht="1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4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t="1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4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1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4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t="1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4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ht="1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4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ht="1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4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t="1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4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ht="1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4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t="1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4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ht="1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4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15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4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1" ht="15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4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t="15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4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1:31" ht="15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4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31" ht="15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4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ht="15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4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ht="15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4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31" ht="15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4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 ht="15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4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ht="15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4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ht="15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4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ht="15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4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 ht="15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4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ht="15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4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ht="15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4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1:31" ht="15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4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 ht="15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4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1:31" ht="15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4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ht="15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4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1:31" ht="15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4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 ht="15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4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1:31" ht="15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4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ht="15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4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1:31" ht="15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4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1:31" ht="15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4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spans="1:31" ht="15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4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 ht="15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4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1:31" ht="15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4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 ht="15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4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1:31" ht="15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4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 ht="15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4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1:31" ht="15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4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ht="15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4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1:31" ht="15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4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ht="15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4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1:31" ht="15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4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 ht="15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4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1:31" ht="15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4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 ht="15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4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1:31" ht="15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4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ht="15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4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ht="15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4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 ht="15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4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ht="15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4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ht="15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4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ht="15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4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 ht="15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4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spans="1:31" ht="15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4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 ht="15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4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1:31" ht="15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4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1:31" ht="15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4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1:31" ht="15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4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 ht="15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4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1:31" ht="15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4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 ht="15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4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1:31" ht="15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4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 ht="15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4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1:31" ht="15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4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 ht="15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4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1:31" ht="15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4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 ht="15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4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1:31" ht="15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4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 ht="15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4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 ht="15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4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 ht="15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4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 ht="15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4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 ht="15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4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1:31" ht="15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4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1:31" ht="15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4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ht="15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4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 ht="15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4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spans="1:31" ht="15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4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 ht="15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4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1:31" ht="15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4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 ht="15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4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1:31" ht="15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4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 ht="15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4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1:31" ht="15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4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ht="15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4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1:31" ht="15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4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t="15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4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1:31" ht="15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4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ht="15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4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1:31" ht="15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4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ht="15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4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1:31" ht="15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4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ht="15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4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1:31" ht="15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4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ht="15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4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spans="1:31" ht="15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4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1:31" ht="15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4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1:31" ht="15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4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1:31" ht="15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4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1:31" ht="15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4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1:31" ht="15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4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1:31" ht="15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4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1:31" ht="15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4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1:31" ht="15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4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1:31" ht="15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4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1:31" ht="15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4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ht="15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4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1:31" ht="15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4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1:31" ht="1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4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1:31" ht="1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4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1:31" ht="1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4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ht="15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4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ht="15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4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ht="15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4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1" ht="15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4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1" ht="15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4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1" ht="15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4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ht="15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4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1" ht="15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4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1" ht="15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4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ht="15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4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t="15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4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ht="15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4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ht="15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4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t="15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4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ht="15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4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ht="15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4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ht="15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4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t="15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4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ht="15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4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t="15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4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ht="15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4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t="15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4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ht="15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4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ht="15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4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ht="15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4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ht="15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4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spans="1:31" ht="15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4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t="15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4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ht="15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4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ht="15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4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spans="1:31" ht="15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4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ht="15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4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ht="15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4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ht="15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4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ht="15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4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t="15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4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ht="15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4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ht="15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4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t="15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4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t="15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4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ht="15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4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ht="15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4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t="15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4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ht="15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4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ht="15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4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ht="15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4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t="15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4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ht="15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4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ht="15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4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spans="1:31" ht="15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4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ht="15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4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ht="15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4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spans="1:31" ht="15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4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t="15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4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ht="15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4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t="15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4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ht="15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4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t="15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4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ht="15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4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t="15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4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ht="15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4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t="15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4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ht="15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4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t="15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4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ht="15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4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t="15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4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ht="15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4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t="15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4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ht="15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4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t="15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4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t="15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4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15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4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t="15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4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15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4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t="15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4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15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4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15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4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15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4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15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4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15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4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15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4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15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4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15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4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15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4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5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4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15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4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15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4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t="15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4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15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4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t="15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4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15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4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t="15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4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t="15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4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15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4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t="15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4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t="15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4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t="15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4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t="15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4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t="15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4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15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4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t="15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4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15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4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t="15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4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15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4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ht="15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4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t="15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4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ht="15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4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t="15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4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ht="15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4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t="15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4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ht="15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4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ht="15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4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spans="1:31" ht="15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4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t="15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4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ht="15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4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spans="1:31" ht="15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4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ht="15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4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ht="15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4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ht="15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4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ht="15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4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ht="15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4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ht="15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4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15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4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15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4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15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4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15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4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ht="15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4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15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4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15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4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ht="15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4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ht="15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4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 ht="15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4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spans="1:31" ht="15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4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spans="1:31" ht="15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4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spans="1:31" ht="15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4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t="15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4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ht="15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4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spans="1:31" ht="15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4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ht="15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4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t="15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4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ht="15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4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ht="15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4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ht="15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4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t="15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4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t="15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4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ht="15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4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ht="15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4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ht="15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4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ht="15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4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t="15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4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ht="15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4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t="15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4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t="15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4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15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4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15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4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t="15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4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t="15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4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t="15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4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ht="15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4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spans="1:31" ht="15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4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ht="15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4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t="15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4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ht="15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4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t="15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4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ht="15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4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ht="15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4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ht="15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4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ht="15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4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ht="15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4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ht="15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4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ht="15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4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15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4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ht="15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4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15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4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ht="15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4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ht="15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4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ht="15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4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5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4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ht="15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4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5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4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spans="1:31" ht="15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4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ht="15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4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ht="15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4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5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4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15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4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5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4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t="15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4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t="15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4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t="15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4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t="15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4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t="15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4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t="15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4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t="15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4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ht="15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4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ht="15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4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ht="15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4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ht="15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4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ht="15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4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15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4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ht="15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4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ht="15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4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spans="1:31" ht="15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4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5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4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5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4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5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4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15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4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ht="15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4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ht="15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4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ht="15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4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15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4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ht="15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4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ht="15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4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ht="15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4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ht="15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4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spans="1:31" ht="15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4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15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4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ht="15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4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spans="1:31" ht="15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4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ht="15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4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spans="1:31" ht="15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4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15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4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15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4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spans="1:31" ht="15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4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ht="15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4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ht="15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4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5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4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ht="15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4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t="15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4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ht="15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4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15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4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ht="15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4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ht="15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4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ht="15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4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t="15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4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ht="15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4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ht="15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4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15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4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ht="15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4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ht="15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4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ht="15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4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ht="15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4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ht="15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4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15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4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ht="15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4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spans="1:31" ht="15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4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ht="15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4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15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4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ht="15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4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ht="15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4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ht="15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4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15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4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ht="15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4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15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4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15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4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ht="15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4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15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4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spans="1:31" ht="15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4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15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4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spans="1:31" ht="15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4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spans="1:31" ht="15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4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spans="1:31" ht="15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4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spans="1:31" ht="15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4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spans="1:31" ht="15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4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spans="1:31" ht="15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4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spans="1:31" ht="15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4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ht="15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4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ht="15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4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ht="15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4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ht="15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4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ht="15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4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ht="15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4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ht="15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4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15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4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15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4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ht="15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4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ht="15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4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15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4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ht="15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4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15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4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15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4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5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4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ht="15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4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ht="15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4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spans="1:31" ht="15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4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spans="1:31" ht="15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4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spans="1:31" ht="15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4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spans="1:31" ht="15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4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spans="1:31" ht="15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4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spans="1:31" ht="15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4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spans="1:31" ht="15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4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spans="1:31" ht="15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4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spans="1:31" ht="15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4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spans="1:31" ht="15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4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ht="15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4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ht="15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4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ht="15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4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ht="15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4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ht="15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4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ht="15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4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ht="15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4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spans="1:31" ht="15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4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ht="15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4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15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4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15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4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ht="15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4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ht="15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4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ht="15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4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5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4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 ht="15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4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ht="15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4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ht="15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4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ht="15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4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spans="1:31" ht="15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4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15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4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spans="1:31" ht="15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4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spans="1:31" ht="15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4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spans="1:31" ht="15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4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spans="1:31" ht="15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4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spans="1:31" ht="15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4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spans="1:31" ht="15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4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spans="1:31" ht="15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4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ht="15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4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 ht="15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4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ht="15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4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ht="15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4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15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4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 ht="15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4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spans="1:31" ht="15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4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ht="15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4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ht="15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4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spans="1:31" ht="15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4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15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4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 ht="15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4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ht="15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4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spans="1:31" ht="15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4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15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4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spans="1:31" ht="15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4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spans="1:31" ht="15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4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15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4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spans="1:31" ht="15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4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t="15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4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ht="15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4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ht="15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4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ht="15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4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ht="15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4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spans="1:31" ht="15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4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spans="1:31" ht="15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4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spans="1:31" ht="15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4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ht="15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4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ht="15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4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ht="15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4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ht="15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4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ht="15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4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spans="1:31" ht="15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4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15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4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spans="1:31" ht="15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4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spans="1:31" ht="15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4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spans="1:31" ht="15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4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5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4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spans="1:31" ht="15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4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spans="1:31" ht="15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4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15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4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15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4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15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4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15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4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ht="15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4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15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4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ht="15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4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ht="15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4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ht="15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4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spans="1:31" ht="15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4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spans="1:31" ht="15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4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ht="15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4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ht="15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4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15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4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ht="15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4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ht="15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4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ht="15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4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ht="15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4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ht="15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4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15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4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ht="15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4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ht="15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4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ht="15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4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ht="15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4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15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4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ht="15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4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ht="15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4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ht="15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4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ht="15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4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spans="1:31" ht="15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4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ht="15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4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ht="15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4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15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4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spans="1:31" ht="15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4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15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4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ht="15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4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15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4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ht="15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4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t="15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4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ht="15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4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spans="1:31" ht="15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4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spans="1:31" ht="15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4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spans="1:31" ht="15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4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ht="15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4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ht="15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4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ht="15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4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t="15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4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spans="1:31" ht="15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4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ht="15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4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spans="1:31" ht="15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4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15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4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ht="15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4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15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4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ht="15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4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ht="15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4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spans="1:31" ht="15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4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ht="15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4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ht="15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4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15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4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15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4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15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4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spans="1:31" ht="15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4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spans="1:31" ht="15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4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spans="1:31" ht="15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4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spans="1:31" ht="15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4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spans="1:31" ht="15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4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spans="1:31" ht="15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4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spans="1:31" ht="15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4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spans="1:31" ht="15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4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spans="1:31" ht="15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4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spans="1:31" ht="15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4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spans="1:31" ht="15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4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spans="1:31" ht="15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4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ht="15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4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spans="1:31" ht="15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4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spans="1:31" ht="15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4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spans="1:31" ht="15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4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ht="15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4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spans="1:31" ht="15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4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spans="1:31" ht="15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4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spans="1:31" ht="15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4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spans="1:31" ht="15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4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spans="1:31" ht="15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4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ht="15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4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spans="1:31" ht="15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4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spans="1:31" ht="15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4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spans="1:31" ht="15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4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spans="1:31" ht="15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4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spans="1:31" ht="15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4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spans="1:31" ht="15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4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spans="1:31" ht="15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4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spans="1:31" ht="15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4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spans="1:31" ht="15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4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spans="1:31" ht="15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4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ht="15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4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spans="1:31" ht="15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4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spans="1:31" ht="15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4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spans="1:31" ht="15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4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spans="1:31" ht="15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4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spans="1:31" ht="15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4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spans="1:31" ht="15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4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spans="1:31" ht="15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4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spans="1:31" ht="15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4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spans="1:31" ht="15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4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spans="1:31" ht="15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4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spans="1:31" ht="15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4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spans="1:31" ht="15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4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spans="1:31" ht="15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4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spans="1:31" ht="15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4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ht="15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4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spans="1:31" ht="15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4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spans="1:31" ht="15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4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spans="1:31" ht="15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4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spans="1:31" ht="15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4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spans="1:31" ht="15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4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ht="15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4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spans="1:31" ht="15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4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spans="1:31" ht="15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4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spans="1:31" ht="15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4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ht="15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4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spans="1:31" ht="15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4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spans="1:31" ht="15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4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spans="1:31" ht="15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4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spans="1:31" ht="15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4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spans="1:31" ht="15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4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spans="1:31" ht="15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4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spans="1:31" ht="15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4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spans="1:31" ht="15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4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spans="1:31" ht="15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4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spans="1:31" ht="15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4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spans="1:31" ht="15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4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spans="1:31" ht="15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4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spans="1:31" ht="15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4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ht="15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4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spans="1:31" ht="15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4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spans="1:31" ht="15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4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spans="1:31" ht="15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4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spans="1:31" ht="15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4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spans="1:31" ht="15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4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spans="1:31" ht="15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4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ht="15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4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spans="1:31" ht="15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4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spans="1:31" ht="15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4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spans="1:31" ht="15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4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spans="1:31" ht="15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4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spans="1:31" ht="15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4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ht="15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4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spans="1:31" ht="15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4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spans="1:31" ht="15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4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spans="1:31" ht="15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4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spans="1:31" ht="15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4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spans="1:31" ht="15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4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spans="1:31" ht="15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4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spans="1:31" ht="15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4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spans="1:31" ht="15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4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spans="1:31" ht="15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4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spans="1:31" ht="15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4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ht="15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4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spans="1:31" ht="15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4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spans="1:31" ht="15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4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ht="15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4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ht="15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4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spans="1:31" ht="15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4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ht="15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4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spans="1:31" ht="15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4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spans="1:31" ht="15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4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spans="1:31" ht="15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4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spans="1:31" ht="15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4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spans="1:31" ht="15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4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spans="1:31" ht="15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4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spans="1:31" ht="15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4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spans="1:31" ht="15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4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spans="1:31" ht="15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4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ht="15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4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spans="1:31" ht="15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4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spans="1:31" ht="15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4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spans="1:31" ht="15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4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ht="15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4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ht="15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4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15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4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ht="15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4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ht="15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4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ht="15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4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spans="1:31" ht="15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4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spans="1:31" ht="15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4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spans="1:31" ht="15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4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spans="1:31" ht="15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4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spans="1:31" ht="15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4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spans="1:31" ht="15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4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ht="15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4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spans="1:31" ht="15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4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spans="1:31" ht="15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4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spans="1:31" ht="15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4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spans="1:31" ht="15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4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spans="1:31" ht="15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4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spans="1:31" ht="15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4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spans="1:31" ht="15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4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spans="1:31" ht="15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4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spans="1:31" ht="15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4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ht="15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4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spans="1:31" ht="15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4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spans="1:31" ht="15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4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spans="1:31" ht="15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4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ht="15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4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spans="1:31" ht="15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4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t="15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4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spans="1:31" ht="15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4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spans="1:31" ht="15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4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spans="1:31" ht="15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4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spans="1:31" ht="15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4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spans="1:31" ht="15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4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spans="1:31" ht="15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4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spans="1:31" ht="15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4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spans="1:31" ht="15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4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spans="1:31" ht="15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4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spans="1:31" ht="15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4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spans="1:31" ht="15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4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spans="1:31" ht="15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4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spans="1:31" ht="15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4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spans="1:31" ht="15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4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spans="1:31" ht="15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4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spans="1:31" ht="15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4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spans="1:31" ht="15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4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spans="1:31" ht="15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4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spans="1:31" ht="15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4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spans="1:31" ht="15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4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spans="1:31" ht="15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4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spans="1:31" ht="15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4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spans="1:31" ht="15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4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spans="1:31" ht="15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4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spans="1:31" ht="15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4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spans="1:31" ht="15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4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ht="15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4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ht="15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4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spans="1:31" ht="15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4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spans="1:31" ht="15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4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spans="1:31" ht="15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4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spans="1:31" ht="15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4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spans="1:31" ht="15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4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spans="1:31" ht="15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4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spans="1:31" ht="15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4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spans="1:31" ht="15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4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spans="1:31" ht="15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4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spans="1:31" ht="15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4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spans="1:31" ht="15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4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spans="1:31" ht="15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4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spans="1:31" ht="15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4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spans="1:31" ht="15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4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spans="1:31" ht="15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4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ht="15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4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spans="1:31" ht="15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4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spans="1:31" ht="15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4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ht="15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4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spans="1:31" ht="15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4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ht="15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4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spans="1:31" ht="15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4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spans="1:31" ht="15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4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ht="15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4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ht="15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4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spans="1:31" ht="15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4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spans="1:31" ht="15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4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spans="1:31" ht="15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4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spans="1:31" ht="15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4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spans="1:31" ht="15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4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spans="1:31" ht="15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4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spans="1:31" ht="15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4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spans="1:31" ht="15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4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ht="15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4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spans="1:31" ht="15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4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spans="1:31" ht="15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4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spans="1:31" ht="15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4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spans="1:31" ht="15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4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spans="1:31" ht="15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4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ht="15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4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spans="1:31" ht="15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4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spans="1:31" ht="15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4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t="15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4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spans="1:31" ht="15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4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spans="1:31" ht="15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4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spans="1:31" ht="15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4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ht="15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4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spans="1:31" ht="15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4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ht="15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4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spans="1:31" ht="15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4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spans="1:31" ht="15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4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spans="1:31" ht="15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4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ht="15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4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spans="1:31" ht="15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4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:31" ht="15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4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spans="1:31" ht="15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4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spans="1:31" ht="15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4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spans="1:31" ht="15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4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spans="1:31" ht="15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4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:31" ht="15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4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spans="1:31" ht="15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4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spans="1:31" ht="15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4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spans="1:31" ht="15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4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spans="1:31" ht="15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4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spans="1:31" ht="15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4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spans="1:31" ht="15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4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spans="1:31" ht="15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4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spans="1:31" ht="15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4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spans="1:31" ht="15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4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spans="1:31" ht="15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4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spans="1:31" ht="15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4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spans="1:31" ht="15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4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spans="1:31" ht="15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4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spans="1:31" ht="15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4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spans="1:31" ht="15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4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spans="1:31" ht="15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4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spans="1:31" ht="15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4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spans="1:31" ht="15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4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spans="1:31" ht="15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4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spans="1:31" ht="15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4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spans="1:31" ht="15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4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spans="1:31" ht="15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4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spans="1:31" ht="15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4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spans="1:31" ht="15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4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 spans="1:31" ht="15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4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 spans="1:31" ht="15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4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  <row r="1009" spans="1:31" ht="15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4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</row>
    <row r="1010" spans="1:31" ht="15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4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</row>
    <row r="1011" spans="1:31" ht="15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4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</row>
    <row r="1012" spans="1:31" ht="15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4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</row>
    <row r="1013" spans="1:31" ht="15" x14ac:dyDescent="0.2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4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</row>
  </sheetData>
  <autoFilter ref="A1:AE32" xr:uid="{00000000-0009-0000-0000-000000000000}">
    <filterColumn colId="11">
      <filters>
        <filter val="Sea"/>
      </filters>
    </filterColumn>
  </autoFilter>
  <dataValidations count="1">
    <dataValidation type="list" allowBlank="1" showErrorMessage="1" sqref="J2:K41" xr:uid="{00000000-0002-0000-0000-000000000000}">
      <formula1>"Yes,No"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8" r:id="rId4" xr:uid="{00000000-0004-0000-0000-000003000000}"/>
    <hyperlink ref="C13" r:id="rId5" xr:uid="{00000000-0004-0000-0000-000004000000}"/>
    <hyperlink ref="C15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/>
  </sheetViews>
  <sheetFormatPr defaultColWidth="12.5703125" defaultRowHeight="15.75" customHeight="1" x14ac:dyDescent="0.2"/>
  <cols>
    <col min="1" max="1" width="38.5703125" customWidth="1"/>
    <col min="2" max="2" width="6.28515625" customWidth="1"/>
    <col min="3" max="3" width="23" customWidth="1"/>
    <col min="8" max="8" width="8.42578125" customWidth="1"/>
    <col min="9" max="9" width="15.42578125" customWidth="1"/>
    <col min="10" max="10" width="5" customWidth="1"/>
    <col min="11" max="11" width="4.28515625" customWidth="1"/>
  </cols>
  <sheetData>
    <row r="1" spans="1:31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211</v>
      </c>
      <c r="J1" s="1" t="s">
        <v>9</v>
      </c>
      <c r="K1" s="1" t="s">
        <v>10</v>
      </c>
      <c r="L1" s="1" t="s">
        <v>212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5.75" customHeight="1" x14ac:dyDescent="0.25">
      <c r="A2" s="5" t="s">
        <v>213</v>
      </c>
      <c r="B2" s="7" t="str">
        <f t="shared" ref="B2:B16" si="0">UPPER(LEFT(A2, 3))</f>
        <v>CRO</v>
      </c>
      <c r="C2" s="7" t="s">
        <v>214</v>
      </c>
      <c r="D2" s="7"/>
      <c r="E2" s="7"/>
      <c r="F2" s="7" t="s">
        <v>215</v>
      </c>
      <c r="G2" s="7" t="s">
        <v>216</v>
      </c>
      <c r="H2" s="7" t="s">
        <v>217</v>
      </c>
      <c r="I2" s="7" t="s">
        <v>218</v>
      </c>
      <c r="J2" s="9" t="s">
        <v>25</v>
      </c>
      <c r="K2" s="9" t="s">
        <v>26</v>
      </c>
      <c r="L2" s="15" t="s">
        <v>10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15.75" customHeight="1" x14ac:dyDescent="0.25">
      <c r="A3" s="5" t="s">
        <v>219</v>
      </c>
      <c r="B3" s="7" t="str">
        <f t="shared" si="0"/>
        <v>QUA</v>
      </c>
      <c r="C3" s="7" t="s">
        <v>220</v>
      </c>
      <c r="D3" s="7" t="s">
        <v>221</v>
      </c>
      <c r="E3" s="7"/>
      <c r="F3" s="7" t="s">
        <v>222</v>
      </c>
      <c r="G3" s="7" t="s">
        <v>223</v>
      </c>
      <c r="H3" s="7" t="s">
        <v>217</v>
      </c>
      <c r="I3" s="7" t="s">
        <v>224</v>
      </c>
      <c r="J3" s="9" t="s">
        <v>25</v>
      </c>
      <c r="K3" s="9" t="s">
        <v>26</v>
      </c>
      <c r="L3" s="15" t="s">
        <v>10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15.75" customHeight="1" x14ac:dyDescent="0.25">
      <c r="A4" s="5" t="s">
        <v>225</v>
      </c>
      <c r="B4" s="7" t="str">
        <f t="shared" si="0"/>
        <v>FUL</v>
      </c>
      <c r="C4" s="7" t="s">
        <v>226</v>
      </c>
      <c r="D4" s="7" t="s">
        <v>227</v>
      </c>
      <c r="E4" s="7"/>
      <c r="F4" s="7" t="s">
        <v>228</v>
      </c>
      <c r="G4" s="7"/>
      <c r="H4" s="7" t="s">
        <v>217</v>
      </c>
      <c r="I4" s="7" t="s">
        <v>229</v>
      </c>
      <c r="J4" s="9" t="s">
        <v>25</v>
      </c>
      <c r="K4" s="9" t="s">
        <v>26</v>
      </c>
      <c r="L4" s="15" t="s">
        <v>10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15.75" customHeight="1" x14ac:dyDescent="0.25">
      <c r="A5" s="5" t="s">
        <v>230</v>
      </c>
      <c r="B5" s="7" t="str">
        <f t="shared" si="0"/>
        <v>KTL</v>
      </c>
      <c r="C5" s="7" t="s">
        <v>231</v>
      </c>
      <c r="D5" s="7" t="s">
        <v>232</v>
      </c>
      <c r="E5" s="7"/>
      <c r="F5" s="7" t="s">
        <v>233</v>
      </c>
      <c r="G5" s="7"/>
      <c r="H5" s="7" t="s">
        <v>217</v>
      </c>
      <c r="I5" s="7" t="s">
        <v>234</v>
      </c>
      <c r="J5" s="9" t="s">
        <v>25</v>
      </c>
      <c r="K5" s="9" t="s">
        <v>26</v>
      </c>
      <c r="L5" s="15" t="s">
        <v>10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5.75" customHeight="1" x14ac:dyDescent="0.25">
      <c r="A6" s="5" t="s">
        <v>235</v>
      </c>
      <c r="B6" s="7" t="str">
        <f t="shared" si="0"/>
        <v>SIN</v>
      </c>
      <c r="C6" s="7" t="s">
        <v>236</v>
      </c>
      <c r="D6" s="7" t="s">
        <v>237</v>
      </c>
      <c r="E6" s="7"/>
      <c r="F6" s="7" t="s">
        <v>238</v>
      </c>
      <c r="G6" s="7"/>
      <c r="H6" s="7" t="s">
        <v>217</v>
      </c>
      <c r="I6" s="7" t="s">
        <v>97</v>
      </c>
      <c r="J6" s="9" t="s">
        <v>25</v>
      </c>
      <c r="K6" s="9" t="s">
        <v>26</v>
      </c>
      <c r="L6" s="15" t="s">
        <v>10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ht="15.75" customHeight="1" x14ac:dyDescent="0.25">
      <c r="A7" s="5" t="s">
        <v>239</v>
      </c>
      <c r="B7" s="7" t="str">
        <f t="shared" si="0"/>
        <v>TRA</v>
      </c>
      <c r="C7" s="7" t="s">
        <v>240</v>
      </c>
      <c r="D7" s="7" t="s">
        <v>241</v>
      </c>
      <c r="E7" s="7" t="s">
        <v>242</v>
      </c>
      <c r="F7" s="7" t="s">
        <v>243</v>
      </c>
      <c r="G7" s="7" t="s">
        <v>244</v>
      </c>
      <c r="H7" s="7" t="s">
        <v>217</v>
      </c>
      <c r="I7" s="7" t="s">
        <v>245</v>
      </c>
      <c r="J7" s="9" t="s">
        <v>25</v>
      </c>
      <c r="K7" s="9" t="s">
        <v>26</v>
      </c>
      <c r="L7" s="15" t="s">
        <v>10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5.75" customHeight="1" x14ac:dyDescent="0.25">
      <c r="A8" s="5" t="s">
        <v>246</v>
      </c>
      <c r="B8" s="7" t="str">
        <f t="shared" si="0"/>
        <v>A&amp;G</v>
      </c>
      <c r="C8" s="7" t="s">
        <v>247</v>
      </c>
      <c r="D8" s="7" t="s">
        <v>248</v>
      </c>
      <c r="E8" s="7"/>
      <c r="F8" s="7" t="s">
        <v>37</v>
      </c>
      <c r="G8" s="7"/>
      <c r="H8" s="7" t="s">
        <v>217</v>
      </c>
      <c r="I8" s="7" t="s">
        <v>249</v>
      </c>
      <c r="J8" s="9" t="s">
        <v>25</v>
      </c>
      <c r="K8" s="9" t="s">
        <v>26</v>
      </c>
      <c r="L8" s="15" t="s">
        <v>10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customHeight="1" x14ac:dyDescent="0.25">
      <c r="A9" s="5" t="s">
        <v>250</v>
      </c>
      <c r="B9" s="7" t="str">
        <f t="shared" si="0"/>
        <v>LEO</v>
      </c>
      <c r="C9" s="7" t="s">
        <v>251</v>
      </c>
      <c r="D9" s="7"/>
      <c r="E9" s="7"/>
      <c r="F9" s="7" t="s">
        <v>252</v>
      </c>
      <c r="G9" s="7"/>
      <c r="H9" s="7" t="s">
        <v>217</v>
      </c>
      <c r="I9" s="7" t="s">
        <v>253</v>
      </c>
      <c r="J9" s="9" t="s">
        <v>25</v>
      </c>
      <c r="K9" s="9" t="s">
        <v>26</v>
      </c>
      <c r="L9" s="15" t="s">
        <v>10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5.75" customHeight="1" x14ac:dyDescent="0.25">
      <c r="A10" s="5" t="s">
        <v>254</v>
      </c>
      <c r="B10" s="7" t="str">
        <f t="shared" si="0"/>
        <v>ORC</v>
      </c>
      <c r="C10" s="7" t="s">
        <v>255</v>
      </c>
      <c r="D10" s="7" t="s">
        <v>256</v>
      </c>
      <c r="E10" s="7"/>
      <c r="F10" s="7" t="s">
        <v>257</v>
      </c>
      <c r="G10" s="7"/>
      <c r="H10" s="7" t="s">
        <v>217</v>
      </c>
      <c r="I10" s="7" t="s">
        <v>258</v>
      </c>
      <c r="J10" s="9" t="s">
        <v>25</v>
      </c>
      <c r="K10" s="9" t="s">
        <v>26</v>
      </c>
      <c r="L10" s="15" t="s">
        <v>10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5.75" customHeight="1" x14ac:dyDescent="0.25">
      <c r="A11" s="5" t="s">
        <v>259</v>
      </c>
      <c r="B11" s="7" t="str">
        <f t="shared" si="0"/>
        <v>FAL</v>
      </c>
      <c r="C11" s="7" t="s">
        <v>260</v>
      </c>
      <c r="D11" s="7"/>
      <c r="E11" s="7" t="s">
        <v>101</v>
      </c>
      <c r="F11" s="7" t="s">
        <v>261</v>
      </c>
      <c r="G11" s="7"/>
      <c r="H11" s="7" t="s">
        <v>217</v>
      </c>
      <c r="I11" s="7" t="s">
        <v>262</v>
      </c>
      <c r="J11" s="9" t="s">
        <v>25</v>
      </c>
      <c r="K11" s="9" t="s">
        <v>26</v>
      </c>
      <c r="L11" s="15" t="s">
        <v>10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5.75" customHeight="1" x14ac:dyDescent="0.25">
      <c r="A12" s="5" t="s">
        <v>263</v>
      </c>
      <c r="B12" s="7" t="str">
        <f t="shared" si="0"/>
        <v>BIL</v>
      </c>
      <c r="C12" s="7" t="s">
        <v>264</v>
      </c>
      <c r="D12" s="7" t="s">
        <v>265</v>
      </c>
      <c r="E12" s="7"/>
      <c r="F12" s="7" t="s">
        <v>266</v>
      </c>
      <c r="G12" s="7"/>
      <c r="H12" s="7" t="s">
        <v>217</v>
      </c>
      <c r="I12" s="7" t="s">
        <v>267</v>
      </c>
      <c r="J12" s="9" t="s">
        <v>25</v>
      </c>
      <c r="K12" s="9" t="s">
        <v>26</v>
      </c>
      <c r="L12" s="15" t="s">
        <v>10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5.75" customHeight="1" x14ac:dyDescent="0.25">
      <c r="A13" s="5" t="s">
        <v>268</v>
      </c>
      <c r="B13" s="7" t="str">
        <f t="shared" si="0"/>
        <v>T.V</v>
      </c>
      <c r="C13" s="7" t="s">
        <v>269</v>
      </c>
      <c r="D13" s="7" t="s">
        <v>270</v>
      </c>
      <c r="E13" s="7"/>
      <c r="F13" s="7" t="s">
        <v>271</v>
      </c>
      <c r="G13" s="7"/>
      <c r="H13" s="7" t="s">
        <v>217</v>
      </c>
      <c r="I13" s="7"/>
      <c r="J13" s="9" t="s">
        <v>25</v>
      </c>
      <c r="K13" s="9" t="s">
        <v>26</v>
      </c>
      <c r="L13" s="15" t="s">
        <v>10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5.75" customHeight="1" x14ac:dyDescent="0.25">
      <c r="A14" s="5" t="s">
        <v>272</v>
      </c>
      <c r="B14" s="7" t="str">
        <f t="shared" si="0"/>
        <v xml:space="preserve">SR </v>
      </c>
      <c r="C14" s="7" t="s">
        <v>273</v>
      </c>
      <c r="D14" s="7" t="s">
        <v>274</v>
      </c>
      <c r="E14" s="7"/>
      <c r="F14" s="7" t="s">
        <v>275</v>
      </c>
      <c r="G14" s="7" t="s">
        <v>276</v>
      </c>
      <c r="H14" s="7" t="s">
        <v>277</v>
      </c>
      <c r="I14" s="7" t="s">
        <v>278</v>
      </c>
      <c r="J14" s="9" t="s">
        <v>25</v>
      </c>
      <c r="K14" s="9" t="s">
        <v>26</v>
      </c>
      <c r="L14" s="15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5.75" customHeight="1" x14ac:dyDescent="0.25">
      <c r="A15" s="5"/>
      <c r="B15" s="7" t="str">
        <f t="shared" si="0"/>
        <v/>
      </c>
      <c r="C15" s="7"/>
      <c r="D15" s="7"/>
      <c r="E15" s="7"/>
      <c r="F15" s="7"/>
      <c r="G15" s="7"/>
      <c r="H15" s="7"/>
      <c r="I15" s="7"/>
      <c r="J15" s="7"/>
      <c r="K15" s="7"/>
      <c r="L15" s="15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5.75" customHeight="1" x14ac:dyDescent="0.25">
      <c r="A16" s="5"/>
      <c r="B16" s="7" t="str">
        <f t="shared" si="0"/>
        <v/>
      </c>
      <c r="C16" s="7"/>
      <c r="D16" s="7"/>
      <c r="E16" s="7"/>
      <c r="F16" s="7"/>
      <c r="G16" s="7"/>
      <c r="H16" s="7"/>
      <c r="I16" s="7"/>
      <c r="J16" s="7"/>
      <c r="K16" s="7"/>
      <c r="L16" s="15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5.75" customHeight="1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15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.75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15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5.75" customHeight="1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15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.75" customHeight="1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15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5.75" customHeight="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15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5.75" customHeight="1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15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5.75" customHeight="1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1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1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.75" customHeight="1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1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.75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15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4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4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4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4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4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4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4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6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6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6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6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6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6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6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6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6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ht="12.7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6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6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6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6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6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6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6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6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pans="1:31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6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6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6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6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6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6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6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6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6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6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6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6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6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6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spans="1:31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6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6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6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6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6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6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6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6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6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6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6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6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6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6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6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6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6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6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pans="1:31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6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6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6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6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6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6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1:31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6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6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6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6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spans="1:31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6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6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spans="1:31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6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6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spans="1:31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6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6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spans="1:31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6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6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6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1:31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6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spans="1:31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6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6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1:31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6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6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6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6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spans="1:31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6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6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6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6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6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6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6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6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6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6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6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6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6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6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6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6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6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6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6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6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6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6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6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6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6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6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6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6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6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6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6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6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6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6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6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6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6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6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6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6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1:31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6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6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1:31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6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6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6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6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6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6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1:31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6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6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6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6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6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6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6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6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1:31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6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6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1:31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6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6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6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6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spans="1:31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6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1:31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6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1:31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6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1:31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6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spans="1:31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6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1:31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6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1:31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6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6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6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1:31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6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1:31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6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6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6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6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6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6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6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6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6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6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6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6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1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6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6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1:31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6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31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6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6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6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31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6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6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6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6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6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6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6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6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1:31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6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6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1:31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6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6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1:31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6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6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1:31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6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6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1:31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6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1:31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6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spans="1:31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6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6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1:31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6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6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1:31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6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6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1:31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6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6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1:31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6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6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1:31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6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6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1:31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6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6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1:31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6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6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6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6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6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6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6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6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spans="1:31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6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6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1:31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6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1:31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6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1:31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6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6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1:31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6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6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1:31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6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6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1:31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6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6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1:31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6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6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1:31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6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6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6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6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6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6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1:31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6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1:31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6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6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6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spans="1:31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6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6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1:31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6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6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1:31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6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6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1:31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6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6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1:31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6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6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1:31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6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6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1:31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6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6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1:31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6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6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1:31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6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6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spans="1:31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6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1:31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6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1:31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6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1:31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6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1:31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6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1:31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6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1:31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6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1:31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6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1:31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6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1:31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6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1:31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6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6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1:31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6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1:31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6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1:31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6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1:31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6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6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6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6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1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6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1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6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1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6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6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1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6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1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6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6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6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6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6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6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6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6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6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6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6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6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6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6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6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6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6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6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spans="1:31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6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6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6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6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spans="1:31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6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6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6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6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6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6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6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6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6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6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6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6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6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6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6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6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6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6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6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spans="1:31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6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6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6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spans="1:31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6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6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6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6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6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6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6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6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6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6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6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6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6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6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6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6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6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6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6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6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6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6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6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6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6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6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6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6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6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6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6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6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6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6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6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6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6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6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6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6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6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6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6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6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6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6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6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6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6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6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6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6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6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6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6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6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6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6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6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6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spans="1:31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6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6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6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spans="1:31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6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6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6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6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6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6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6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6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6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6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6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6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6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6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6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6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6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spans="1:31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6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spans="1:31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6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spans="1:31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6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6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6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spans="1:31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6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6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6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6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6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6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6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6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6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6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6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6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6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6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6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6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6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6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6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6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6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6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spans="1:31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6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6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6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6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6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6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6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6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6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6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6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6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6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6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6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6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6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6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6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6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6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spans="1:31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6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6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6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6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6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6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6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6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6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6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6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6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6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6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6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6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6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6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6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6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6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spans="1:31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6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6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6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6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6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6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6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6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6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6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6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6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6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spans="1:31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6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6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6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spans="1:31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6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6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spans="1:31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6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6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6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spans="1:31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6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6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6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6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6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6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6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6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6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6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6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6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6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6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6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6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6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6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6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6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6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6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spans="1:31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6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6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6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6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6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6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6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6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6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6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6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6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spans="1:31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6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6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spans="1:31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6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spans="1:31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6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spans="1:31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6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spans="1:31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6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spans="1:31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6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spans="1:31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6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spans="1:31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6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6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6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6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6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6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6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6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6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6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6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6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6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6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6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6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6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6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6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spans="1:31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6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spans="1:31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6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spans="1:31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6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spans="1:31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6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spans="1:31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6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spans="1:31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6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spans="1:31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6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spans="1:31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6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spans="1:31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6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spans="1:31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6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6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6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6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6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6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6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6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spans="1:31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6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6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6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6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6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6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6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6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6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6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6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6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spans="1:31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6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6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spans="1:31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6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spans="1:31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6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spans="1:31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6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spans="1:31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6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spans="1:31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6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spans="1:31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6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spans="1:31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6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6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6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6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6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6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6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spans="1:31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6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6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6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spans="1:31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6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6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6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6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spans="1:31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6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6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spans="1:31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6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spans="1:31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6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6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spans="1:31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6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6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6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6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6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6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spans="1:31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6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spans="1:31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6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spans="1:31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6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6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6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6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6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6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spans="1:31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6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6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spans="1:31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6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spans="1:31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6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spans="1:31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6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6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spans="1:31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6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spans="1:31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6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6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6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6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6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6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6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6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6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6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spans="1:31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6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spans="1:31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6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6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6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6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6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6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6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6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6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6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6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6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6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6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6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6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6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6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6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spans="1:31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6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6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6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6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spans="1:31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6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6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6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6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6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6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6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spans="1:31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6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spans="1:31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6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spans="1:31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6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6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6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6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6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spans="1:31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6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6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spans="1:31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6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6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6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6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6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6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spans="1:31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6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6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6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6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6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6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spans="1:31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6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spans="1:31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6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spans="1:31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6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spans="1:31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6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spans="1:31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6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spans="1:31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6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spans="1:31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6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spans="1:31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6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spans="1:31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6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spans="1:31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6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spans="1:31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6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spans="1:31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6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6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spans="1:31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6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spans="1:31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6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spans="1:31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6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6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spans="1:31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6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spans="1:31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6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spans="1:31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6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spans="1:31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6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spans="1:31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6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6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spans="1:31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6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spans="1:31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6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spans="1:31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6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spans="1:31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6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spans="1:31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6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spans="1:31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6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spans="1:31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6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spans="1:31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6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spans="1:31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6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spans="1:31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6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6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spans="1:31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6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spans="1:31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6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spans="1:31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6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spans="1:31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6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spans="1:31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6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spans="1:31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6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spans="1:31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6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spans="1:31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6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spans="1:31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6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spans="1:31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6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spans="1:31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6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spans="1:31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6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spans="1:31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6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spans="1:31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6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6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spans="1:31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6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spans="1:31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6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spans="1:31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6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spans="1:31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6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spans="1:31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6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6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spans="1:31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6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spans="1:31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6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spans="1:31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6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6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spans="1:31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6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spans="1:31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6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spans="1:31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6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spans="1:31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6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spans="1:31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6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spans="1:31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6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spans="1:31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6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spans="1:31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6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spans="1:31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6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spans="1:31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6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spans="1:31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6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spans="1:31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6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spans="1:31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6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6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spans="1:31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6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spans="1:31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6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spans="1:31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6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spans="1:31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6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spans="1:31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6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spans="1:31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6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6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spans="1:31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6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spans="1:31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6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spans="1:31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6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spans="1:31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6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spans="1:31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6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6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spans="1:31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6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spans="1:31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6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spans="1:31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6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spans="1:31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6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spans="1:31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6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spans="1:31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6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spans="1:31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6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spans="1:31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6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spans="1:31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6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spans="1:31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6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6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spans="1:31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6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spans="1:31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6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6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6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spans="1:31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6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6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spans="1:31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6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spans="1:31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6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spans="1:31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6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spans="1:31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6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spans="1:31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6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spans="1:31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6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spans="1:31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6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spans="1:31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6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spans="1:31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6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6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spans="1:31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6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spans="1:31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6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spans="1:31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6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6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6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6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6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6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6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spans="1:31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6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spans="1:31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6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spans="1:31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6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spans="1:31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6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spans="1:31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6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spans="1:31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6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6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spans="1:31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6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spans="1:31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6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spans="1:31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6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spans="1:31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6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spans="1:31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6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spans="1:31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6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spans="1:31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6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spans="1:31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6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spans="1:31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6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6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spans="1:31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6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spans="1:31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6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spans="1:31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6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6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spans="1:31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6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6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spans="1:31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6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spans="1:31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6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spans="1:31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6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spans="1:31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6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spans="1:31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6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spans="1:31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6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spans="1:31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6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spans="1:31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6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spans="1:31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6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spans="1:31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6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spans="1:31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6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spans="1:31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6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spans="1:31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6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spans="1:31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6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spans="1:31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6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spans="1:31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6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spans="1:31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6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spans="1:31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6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spans="1:31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6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spans="1:31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6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spans="1:31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6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spans="1:31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6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spans="1:31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6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spans="1:31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6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spans="1:31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6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spans="1:31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6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6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6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spans="1:31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6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spans="1:31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6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spans="1:31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6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spans="1:31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6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spans="1:31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6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spans="1:31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6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spans="1:31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6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spans="1:31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6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spans="1:31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6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spans="1:31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6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spans="1:31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6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spans="1:31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6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spans="1:31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6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spans="1:31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6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spans="1:31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6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6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spans="1:31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6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spans="1:31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6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6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spans="1:31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6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6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spans="1:31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6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spans="1:31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6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6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6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spans="1:31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6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spans="1:31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6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spans="1:31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6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spans="1:31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6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spans="1:31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6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spans="1:31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6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spans="1:31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6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spans="1:31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6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6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spans="1:31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6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spans="1:31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6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spans="1:31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6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spans="1:31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6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spans="1:31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6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6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spans="1:31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6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spans="1:31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6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6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spans="1:31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6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spans="1:31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6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spans="1:31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6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6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spans="1:31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6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6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spans="1:31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6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spans="1:31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6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spans="1:31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6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6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spans="1:31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6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:31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6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spans="1:31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6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spans="1:31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6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spans="1:31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6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spans="1:31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6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:31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6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spans="1:31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6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spans="1:31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6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spans="1:31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6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spans="1:31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6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spans="1:31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6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spans="1:31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6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spans="1:31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6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spans="1:31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6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spans="1:31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6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spans="1:31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6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spans="1:31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6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spans="1:31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6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spans="1:31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6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spans="1:31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6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spans="1:31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6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spans="1:31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6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spans="1:31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6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spans="1:31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6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</sheetData>
  <dataValidations count="1">
    <dataValidation type="list" allowBlank="1" showErrorMessage="1" sqref="J2:K14" xr:uid="{00000000-0002-0000-0100-000000000000}">
      <formula1>"Yes,No"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6" r:id="rId4" xr:uid="{00000000-0004-0000-0100-000003000000}"/>
    <hyperlink ref="C10" r:id="rId5" xr:uid="{00000000-0004-0000-0100-000004000000}"/>
    <hyperlink ref="C11" r:id="rId6" xr:uid="{00000000-0004-0000-0100-000005000000}"/>
    <hyperlink ref="C12" r:id="rId7" xr:uid="{00000000-0004-0000-0100-000006000000}"/>
    <hyperlink ref="C13" r:id="rId8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0"/>
  <sheetViews>
    <sheetView workbookViewId="0">
      <selection activeCell="C22" sqref="C22"/>
    </sheetView>
  </sheetViews>
  <sheetFormatPr defaultColWidth="12.5703125" defaultRowHeight="15.75" customHeight="1" x14ac:dyDescent="0.2"/>
  <cols>
    <col min="1" max="1" width="30.42578125" customWidth="1"/>
    <col min="2" max="2" width="6.28515625" customWidth="1"/>
    <col min="3" max="3" width="28.28515625" customWidth="1"/>
    <col min="4" max="4" width="12.5703125" customWidth="1"/>
    <col min="5" max="5" width="9.85546875" customWidth="1"/>
    <col min="6" max="6" width="10.42578125" customWidth="1"/>
    <col min="7" max="7" width="10" customWidth="1"/>
    <col min="8" max="8" width="15.7109375" customWidth="1"/>
    <col min="9" max="9" width="32.140625" customWidth="1"/>
    <col min="10" max="10" width="5.5703125" customWidth="1"/>
    <col min="11" max="11" width="5.85546875" customWidth="1"/>
  </cols>
  <sheetData>
    <row r="1" spans="1:30" ht="15.75" customHeight="1" x14ac:dyDescent="0.25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211</v>
      </c>
      <c r="J1" s="17" t="s">
        <v>9</v>
      </c>
      <c r="K1" s="17" t="s">
        <v>10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ht="15.75" customHeight="1" x14ac:dyDescent="0.25">
      <c r="A2" s="5" t="s">
        <v>279</v>
      </c>
      <c r="B2" s="7" t="str">
        <f t="shared" ref="B2:B15" si="0">UPPER(LEFT(A2, 3))</f>
        <v>ARM</v>
      </c>
      <c r="C2" s="7" t="s">
        <v>280</v>
      </c>
      <c r="D2" s="8" t="s">
        <v>281</v>
      </c>
      <c r="E2" s="7"/>
      <c r="F2" s="7" t="s">
        <v>282</v>
      </c>
      <c r="G2" s="7" t="s">
        <v>283</v>
      </c>
      <c r="H2" s="7" t="s">
        <v>284</v>
      </c>
      <c r="I2" s="7" t="s">
        <v>285</v>
      </c>
      <c r="J2" s="9" t="s">
        <v>25</v>
      </c>
      <c r="K2" s="9" t="s">
        <v>26</v>
      </c>
      <c r="L2" s="20"/>
      <c r="M2" s="20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15.75" customHeight="1" x14ac:dyDescent="0.25">
      <c r="A3" s="22" t="s">
        <v>286</v>
      </c>
      <c r="B3" s="7" t="str">
        <f t="shared" si="0"/>
        <v>DEX</v>
      </c>
      <c r="C3" s="7" t="s">
        <v>287</v>
      </c>
      <c r="D3" s="8" t="s">
        <v>288</v>
      </c>
      <c r="E3" s="7"/>
      <c r="F3" s="7" t="s">
        <v>289</v>
      </c>
      <c r="G3" s="7"/>
      <c r="H3" s="7"/>
      <c r="I3" s="7"/>
      <c r="J3" s="9" t="s">
        <v>25</v>
      </c>
      <c r="K3" s="9" t="s">
        <v>26</v>
      </c>
      <c r="L3" s="20"/>
      <c r="M3" s="20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15.75" customHeight="1" x14ac:dyDescent="0.25">
      <c r="A4" s="5" t="s">
        <v>290</v>
      </c>
      <c r="B4" s="7" t="str">
        <f t="shared" si="0"/>
        <v>PHI</v>
      </c>
      <c r="C4" s="7" t="s">
        <v>291</v>
      </c>
      <c r="D4" s="8" t="s">
        <v>292</v>
      </c>
      <c r="E4" s="7" t="s">
        <v>293</v>
      </c>
      <c r="F4" s="7" t="s">
        <v>294</v>
      </c>
      <c r="G4" s="7" t="s">
        <v>295</v>
      </c>
      <c r="H4" s="7" t="s">
        <v>296</v>
      </c>
      <c r="I4" s="9" t="s">
        <v>297</v>
      </c>
      <c r="J4" s="9" t="s">
        <v>25</v>
      </c>
      <c r="K4" s="9" t="s">
        <v>26</v>
      </c>
      <c r="L4" s="20"/>
      <c r="M4" s="20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15.75" customHeight="1" x14ac:dyDescent="0.25">
      <c r="A5" s="22" t="s">
        <v>298</v>
      </c>
      <c r="B5" s="7" t="str">
        <f t="shared" si="0"/>
        <v>WOR</v>
      </c>
      <c r="C5" s="7" t="s">
        <v>299</v>
      </c>
      <c r="D5" s="8" t="s">
        <v>300</v>
      </c>
      <c r="E5" s="7" t="s">
        <v>301</v>
      </c>
      <c r="F5" s="7" t="s">
        <v>302</v>
      </c>
      <c r="G5" s="7" t="s">
        <v>303</v>
      </c>
      <c r="H5" s="7" t="s">
        <v>284</v>
      </c>
      <c r="I5" s="7"/>
      <c r="J5" s="9" t="s">
        <v>25</v>
      </c>
      <c r="K5" s="9" t="s">
        <v>26</v>
      </c>
      <c r="L5" s="20"/>
      <c r="M5" s="20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15.75" customHeight="1" x14ac:dyDescent="0.25">
      <c r="A6" s="5" t="s">
        <v>304</v>
      </c>
      <c r="B6" s="7" t="str">
        <f t="shared" si="0"/>
        <v>NAK</v>
      </c>
      <c r="C6" s="7" t="s">
        <v>305</v>
      </c>
      <c r="D6" s="8">
        <v>60173075072</v>
      </c>
      <c r="E6" s="7"/>
      <c r="F6" s="7" t="s">
        <v>306</v>
      </c>
      <c r="G6" s="7"/>
      <c r="H6" s="7" t="s">
        <v>284</v>
      </c>
      <c r="I6" s="7"/>
      <c r="J6" s="9" t="s">
        <v>25</v>
      </c>
      <c r="K6" s="9" t="s">
        <v>26</v>
      </c>
      <c r="L6" s="20"/>
      <c r="M6" s="2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5.75" customHeight="1" x14ac:dyDescent="0.25">
      <c r="A7" s="5" t="s">
        <v>307</v>
      </c>
      <c r="B7" s="7" t="str">
        <f t="shared" si="0"/>
        <v>TRA</v>
      </c>
      <c r="C7" s="7" t="s">
        <v>308</v>
      </c>
      <c r="D7" s="8" t="s">
        <v>309</v>
      </c>
      <c r="E7" s="7" t="s">
        <v>310</v>
      </c>
      <c r="F7" s="7" t="s">
        <v>311</v>
      </c>
      <c r="G7" s="7" t="s">
        <v>312</v>
      </c>
      <c r="H7" s="7" t="s">
        <v>284</v>
      </c>
      <c r="I7" s="7" t="s">
        <v>313</v>
      </c>
      <c r="J7" s="9" t="s">
        <v>25</v>
      </c>
      <c r="K7" s="9" t="s">
        <v>26</v>
      </c>
      <c r="L7" s="20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5.75" customHeight="1" x14ac:dyDescent="0.25">
      <c r="A8" s="5" t="s">
        <v>314</v>
      </c>
      <c r="B8" s="7" t="str">
        <f t="shared" si="0"/>
        <v>EAS</v>
      </c>
      <c r="C8" s="7" t="s">
        <v>315</v>
      </c>
      <c r="D8" s="8" t="s">
        <v>316</v>
      </c>
      <c r="E8" s="7" t="s">
        <v>310</v>
      </c>
      <c r="F8" s="7" t="s">
        <v>317</v>
      </c>
      <c r="G8" s="7"/>
      <c r="H8" s="7" t="s">
        <v>318</v>
      </c>
      <c r="I8" s="7"/>
      <c r="J8" s="9" t="s">
        <v>25</v>
      </c>
      <c r="K8" s="9" t="s">
        <v>26</v>
      </c>
      <c r="L8" s="20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5.75" customHeight="1" x14ac:dyDescent="0.25">
      <c r="A9" s="5" t="s">
        <v>319</v>
      </c>
      <c r="B9" s="7" t="str">
        <f t="shared" si="0"/>
        <v xml:space="preserve">MS </v>
      </c>
      <c r="C9" s="7" t="s">
        <v>320</v>
      </c>
      <c r="D9" s="8" t="s">
        <v>321</v>
      </c>
      <c r="E9" s="7"/>
      <c r="F9" s="7" t="s">
        <v>322</v>
      </c>
      <c r="G9" s="7"/>
      <c r="H9" s="7" t="s">
        <v>296</v>
      </c>
      <c r="I9" s="7" t="s">
        <v>323</v>
      </c>
      <c r="J9" s="9" t="s">
        <v>25</v>
      </c>
      <c r="K9" s="9" t="s">
        <v>26</v>
      </c>
      <c r="L9" s="20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15.75" customHeight="1" x14ac:dyDescent="0.25">
      <c r="A10" s="5" t="s">
        <v>324</v>
      </c>
      <c r="B10" s="7" t="str">
        <f t="shared" si="0"/>
        <v>AIM</v>
      </c>
      <c r="C10" s="7" t="s">
        <v>325</v>
      </c>
      <c r="D10" s="8" t="s">
        <v>326</v>
      </c>
      <c r="E10" s="7"/>
      <c r="F10" s="7" t="s">
        <v>327</v>
      </c>
      <c r="G10" s="7"/>
      <c r="H10" s="7" t="s">
        <v>284</v>
      </c>
      <c r="I10" s="7"/>
      <c r="J10" s="9" t="s">
        <v>25</v>
      </c>
      <c r="K10" s="9" t="s">
        <v>26</v>
      </c>
      <c r="L10" s="20"/>
      <c r="M10" s="20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2">
      <c r="A11" s="21"/>
      <c r="B11" s="21" t="str">
        <f t="shared" si="0"/>
        <v/>
      </c>
      <c r="C11" s="21"/>
      <c r="D11" s="23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2">
      <c r="A12" s="21"/>
      <c r="B12" s="21" t="str">
        <f t="shared" si="0"/>
        <v/>
      </c>
      <c r="C12" s="21"/>
      <c r="D12" s="23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2">
      <c r="A13" s="21"/>
      <c r="B13" s="21" t="str">
        <f t="shared" si="0"/>
        <v/>
      </c>
      <c r="C13" s="21"/>
      <c r="D13" s="23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2">
      <c r="A14" s="21"/>
      <c r="B14" s="21" t="str">
        <f t="shared" si="0"/>
        <v/>
      </c>
      <c r="C14" s="21"/>
      <c r="D14" s="23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">
      <c r="A15" s="21"/>
      <c r="B15" s="21" t="str">
        <f t="shared" si="0"/>
        <v/>
      </c>
      <c r="C15" s="21"/>
      <c r="D15" s="23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">
      <c r="A16" s="21"/>
      <c r="B16" s="21"/>
      <c r="C16" s="21"/>
      <c r="D16" s="23"/>
      <c r="E16" s="21"/>
      <c r="F16" s="21"/>
      <c r="G16" s="21"/>
      <c r="H16" s="21"/>
      <c r="I16" s="21"/>
      <c r="J16" s="24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">
      <c r="A17" s="21"/>
      <c r="B17" s="21"/>
      <c r="C17" s="21"/>
      <c r="D17" s="23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">
      <c r="A18" s="21"/>
      <c r="B18" s="21"/>
      <c r="C18" s="21"/>
      <c r="D18" s="23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">
      <c r="A19" s="21"/>
      <c r="B19" s="21"/>
      <c r="C19" s="21"/>
      <c r="D19" s="23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">
      <c r="A20" s="21"/>
      <c r="B20" s="21"/>
      <c r="C20" s="21"/>
      <c r="D20" s="2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">
      <c r="A21" s="21"/>
      <c r="B21" s="21"/>
      <c r="C21" s="21"/>
      <c r="D21" s="2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">
      <c r="A22" s="21"/>
      <c r="B22" s="21"/>
      <c r="C22" s="21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">
      <c r="A23" s="21"/>
      <c r="B23" s="21"/>
      <c r="C23" s="21"/>
      <c r="D23" s="2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">
      <c r="A24" s="21"/>
      <c r="B24" s="21"/>
      <c r="C24" s="21"/>
      <c r="D24" s="2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">
      <c r="A25" s="21"/>
      <c r="B25" s="21"/>
      <c r="C25" s="21"/>
      <c r="D25" s="23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">
      <c r="A26" s="21"/>
      <c r="B26" s="21"/>
      <c r="C26" s="21"/>
      <c r="D26" s="2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">
      <c r="A27" s="21"/>
      <c r="B27" s="21"/>
      <c r="C27" s="21"/>
      <c r="D27" s="2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">
      <c r="A28" s="21"/>
      <c r="B28" s="21"/>
      <c r="C28" s="21"/>
      <c r="D28" s="2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">
      <c r="A29" s="21"/>
      <c r="B29" s="21"/>
      <c r="C29" s="21"/>
      <c r="D29" s="2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">
      <c r="A30" s="21"/>
      <c r="B30" s="21"/>
      <c r="C30" s="21"/>
      <c r="D30" s="23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">
      <c r="A31" s="21"/>
      <c r="B31" s="21"/>
      <c r="C31" s="21"/>
      <c r="D31" s="23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">
      <c r="A32" s="21"/>
      <c r="B32" s="21"/>
      <c r="C32" s="21"/>
      <c r="D32" s="2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">
      <c r="A33" s="21"/>
      <c r="B33" s="21"/>
      <c r="C33" s="21"/>
      <c r="D33" s="2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">
      <c r="A34" s="21"/>
      <c r="B34" s="21"/>
      <c r="C34" s="21"/>
      <c r="D34" s="23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">
      <c r="A35" s="21"/>
      <c r="B35" s="21"/>
      <c r="C35" s="21"/>
      <c r="D35" s="23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">
      <c r="A36" s="21"/>
      <c r="B36" s="21"/>
      <c r="C36" s="21"/>
      <c r="D36" s="23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">
      <c r="A37" s="21"/>
      <c r="B37" s="21"/>
      <c r="C37" s="21"/>
      <c r="D37" s="23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2.75" x14ac:dyDescent="0.2">
      <c r="A38" s="21"/>
      <c r="B38" s="21"/>
      <c r="C38" s="21"/>
      <c r="D38" s="23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2.75" x14ac:dyDescent="0.2">
      <c r="A39" s="21"/>
      <c r="B39" s="21"/>
      <c r="C39" s="21"/>
      <c r="D39" s="23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2.75" x14ac:dyDescent="0.2">
      <c r="A40" s="21"/>
      <c r="B40" s="21"/>
      <c r="C40" s="21"/>
      <c r="D40" s="23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2.75" x14ac:dyDescent="0.2">
      <c r="A41" s="21"/>
      <c r="B41" s="21"/>
      <c r="C41" s="21"/>
      <c r="D41" s="2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2.75" x14ac:dyDescent="0.2">
      <c r="A42" s="21"/>
      <c r="B42" s="21"/>
      <c r="C42" s="21"/>
      <c r="D42" s="23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2.75" x14ac:dyDescent="0.2">
      <c r="A43" s="21"/>
      <c r="B43" s="21"/>
      <c r="C43" s="21"/>
      <c r="D43" s="23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2.75" x14ac:dyDescent="0.2">
      <c r="A44" s="21"/>
      <c r="B44" s="21"/>
      <c r="C44" s="21"/>
      <c r="D44" s="23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2.75" x14ac:dyDescent="0.2">
      <c r="A45" s="21"/>
      <c r="B45" s="21"/>
      <c r="C45" s="21"/>
      <c r="D45" s="23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2.75" x14ac:dyDescent="0.2">
      <c r="A46" s="21"/>
      <c r="B46" s="21"/>
      <c r="C46" s="21"/>
      <c r="D46" s="23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2.75" x14ac:dyDescent="0.2">
      <c r="A47" s="21"/>
      <c r="B47" s="21"/>
      <c r="C47" s="21"/>
      <c r="D47" s="23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2.75" x14ac:dyDescent="0.2">
      <c r="A48" s="21"/>
      <c r="B48" s="21"/>
      <c r="C48" s="21"/>
      <c r="D48" s="23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12.75" x14ac:dyDescent="0.2">
      <c r="A49" s="21"/>
      <c r="B49" s="21"/>
      <c r="C49" s="21"/>
      <c r="D49" s="23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2.75" x14ac:dyDescent="0.2">
      <c r="A50" s="21"/>
      <c r="B50" s="21"/>
      <c r="C50" s="21"/>
      <c r="D50" s="23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2.75" x14ac:dyDescent="0.2">
      <c r="A51" s="21"/>
      <c r="B51" s="21"/>
      <c r="C51" s="21"/>
      <c r="D51" s="23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12.75" x14ac:dyDescent="0.2">
      <c r="A52" s="21"/>
      <c r="B52" s="21"/>
      <c r="C52" s="21"/>
      <c r="D52" s="23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12.75" x14ac:dyDescent="0.2">
      <c r="A53" s="21"/>
      <c r="B53" s="21"/>
      <c r="C53" s="21"/>
      <c r="D53" s="23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12.75" x14ac:dyDescent="0.2">
      <c r="A54" s="21"/>
      <c r="B54" s="21"/>
      <c r="C54" s="21"/>
      <c r="D54" s="23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12.75" x14ac:dyDescent="0.2">
      <c r="A55" s="21"/>
      <c r="B55" s="21"/>
      <c r="C55" s="21"/>
      <c r="D55" s="23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12.75" x14ac:dyDescent="0.2">
      <c r="A56" s="21"/>
      <c r="B56" s="21"/>
      <c r="C56" s="21"/>
      <c r="D56" s="23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12.75" x14ac:dyDescent="0.2">
      <c r="A57" s="21"/>
      <c r="B57" s="21"/>
      <c r="C57" s="21"/>
      <c r="D57" s="23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12.75" x14ac:dyDescent="0.2">
      <c r="A58" s="21"/>
      <c r="B58" s="21"/>
      <c r="C58" s="21"/>
      <c r="D58" s="23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12.75" x14ac:dyDescent="0.2">
      <c r="A59" s="21"/>
      <c r="B59" s="21"/>
      <c r="C59" s="21"/>
      <c r="D59" s="23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12.75" x14ac:dyDescent="0.2">
      <c r="A60" s="21"/>
      <c r="B60" s="21"/>
      <c r="C60" s="21"/>
      <c r="D60" s="23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12.75" x14ac:dyDescent="0.2">
      <c r="A61" s="21"/>
      <c r="B61" s="21"/>
      <c r="C61" s="21"/>
      <c r="D61" s="23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12.75" x14ac:dyDescent="0.2">
      <c r="A62" s="21"/>
      <c r="B62" s="21"/>
      <c r="C62" s="21"/>
      <c r="D62" s="23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12.75" x14ac:dyDescent="0.2">
      <c r="A63" s="21"/>
      <c r="B63" s="21"/>
      <c r="C63" s="21"/>
      <c r="D63" s="23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2.75" x14ac:dyDescent="0.2">
      <c r="A64" s="21"/>
      <c r="B64" s="21"/>
      <c r="C64" s="21"/>
      <c r="D64" s="23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2.75" x14ac:dyDescent="0.2">
      <c r="A65" s="21"/>
      <c r="B65" s="21"/>
      <c r="C65" s="21"/>
      <c r="D65" s="23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2.75" x14ac:dyDescent="0.2">
      <c r="A66" s="21"/>
      <c r="B66" s="21"/>
      <c r="C66" s="21"/>
      <c r="D66" s="23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12.75" x14ac:dyDescent="0.2">
      <c r="A67" s="21"/>
      <c r="B67" s="21"/>
      <c r="C67" s="21"/>
      <c r="D67" s="23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12.75" x14ac:dyDescent="0.2">
      <c r="A68" s="21"/>
      <c r="B68" s="21"/>
      <c r="C68" s="21"/>
      <c r="D68" s="23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12.75" x14ac:dyDescent="0.2">
      <c r="A69" s="21"/>
      <c r="B69" s="21"/>
      <c r="C69" s="21"/>
      <c r="D69" s="23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12.75" x14ac:dyDescent="0.2">
      <c r="A70" s="21"/>
      <c r="B70" s="21"/>
      <c r="C70" s="21"/>
      <c r="D70" s="23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12.75" x14ac:dyDescent="0.2">
      <c r="A71" s="21"/>
      <c r="B71" s="21"/>
      <c r="C71" s="21"/>
      <c r="D71" s="23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2.75" x14ac:dyDescent="0.2">
      <c r="A72" s="21"/>
      <c r="B72" s="21"/>
      <c r="C72" s="21"/>
      <c r="D72" s="23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2.75" x14ac:dyDescent="0.2">
      <c r="A73" s="21"/>
      <c r="B73" s="21"/>
      <c r="C73" s="21"/>
      <c r="D73" s="23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2.75" x14ac:dyDescent="0.2">
      <c r="A74" s="21"/>
      <c r="B74" s="21"/>
      <c r="C74" s="21"/>
      <c r="D74" s="23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2.75" x14ac:dyDescent="0.2">
      <c r="A75" s="21"/>
      <c r="B75" s="21"/>
      <c r="C75" s="21"/>
      <c r="D75" s="23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2.75" x14ac:dyDescent="0.2">
      <c r="A76" s="21"/>
      <c r="B76" s="21"/>
      <c r="C76" s="21"/>
      <c r="D76" s="23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2.75" x14ac:dyDescent="0.2">
      <c r="A77" s="21"/>
      <c r="B77" s="21"/>
      <c r="C77" s="21"/>
      <c r="D77" s="23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2.75" x14ac:dyDescent="0.2">
      <c r="A78" s="21"/>
      <c r="B78" s="21"/>
      <c r="C78" s="21"/>
      <c r="D78" s="23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12.75" x14ac:dyDescent="0.2">
      <c r="A79" s="21"/>
      <c r="B79" s="21"/>
      <c r="C79" s="21"/>
      <c r="D79" s="23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2.75" x14ac:dyDescent="0.2">
      <c r="A80" s="21"/>
      <c r="B80" s="21"/>
      <c r="C80" s="21"/>
      <c r="D80" s="23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12.75" x14ac:dyDescent="0.2">
      <c r="A81" s="21"/>
      <c r="B81" s="21"/>
      <c r="C81" s="21"/>
      <c r="D81" s="23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12.75" x14ac:dyDescent="0.2">
      <c r="A82" s="21"/>
      <c r="B82" s="21"/>
      <c r="C82" s="21"/>
      <c r="D82" s="23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12.75" x14ac:dyDescent="0.2">
      <c r="A83" s="21"/>
      <c r="B83" s="21"/>
      <c r="C83" s="21"/>
      <c r="D83" s="23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2.75" x14ac:dyDescent="0.2">
      <c r="A84" s="21"/>
      <c r="B84" s="21"/>
      <c r="C84" s="21"/>
      <c r="D84" s="23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12.75" x14ac:dyDescent="0.2">
      <c r="A85" s="21"/>
      <c r="B85" s="21"/>
      <c r="C85" s="21"/>
      <c r="D85" s="23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12.75" x14ac:dyDescent="0.2">
      <c r="A86" s="21"/>
      <c r="B86" s="21"/>
      <c r="C86" s="21"/>
      <c r="D86" s="23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12.75" x14ac:dyDescent="0.2">
      <c r="A87" s="21"/>
      <c r="B87" s="21"/>
      <c r="C87" s="21"/>
      <c r="D87" s="23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12.75" x14ac:dyDescent="0.2">
      <c r="A88" s="21"/>
      <c r="B88" s="21"/>
      <c r="C88" s="21"/>
      <c r="D88" s="23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12.75" x14ac:dyDescent="0.2">
      <c r="A89" s="21"/>
      <c r="B89" s="21"/>
      <c r="C89" s="21"/>
      <c r="D89" s="23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12.75" x14ac:dyDescent="0.2">
      <c r="A90" s="21"/>
      <c r="B90" s="21"/>
      <c r="C90" s="21"/>
      <c r="D90" s="23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12.75" x14ac:dyDescent="0.2">
      <c r="A91" s="21"/>
      <c r="B91" s="21"/>
      <c r="C91" s="21"/>
      <c r="D91" s="23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12.75" x14ac:dyDescent="0.2">
      <c r="A92" s="21"/>
      <c r="B92" s="21"/>
      <c r="C92" s="21"/>
      <c r="D92" s="23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12.75" x14ac:dyDescent="0.2">
      <c r="A93" s="21"/>
      <c r="B93" s="21"/>
      <c r="C93" s="21"/>
      <c r="D93" s="23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2.75" x14ac:dyDescent="0.2">
      <c r="A94" s="21"/>
      <c r="B94" s="21"/>
      <c r="C94" s="21"/>
      <c r="D94" s="23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12.75" x14ac:dyDescent="0.2">
      <c r="A95" s="21"/>
      <c r="B95" s="21"/>
      <c r="C95" s="21"/>
      <c r="D95" s="23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12.75" x14ac:dyDescent="0.2">
      <c r="A96" s="21"/>
      <c r="B96" s="21"/>
      <c r="C96" s="21"/>
      <c r="D96" s="23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12.75" x14ac:dyDescent="0.2">
      <c r="A97" s="21"/>
      <c r="B97" s="21"/>
      <c r="C97" s="21"/>
      <c r="D97" s="23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12.75" x14ac:dyDescent="0.2">
      <c r="A98" s="21"/>
      <c r="B98" s="21"/>
      <c r="C98" s="21"/>
      <c r="D98" s="23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12.75" x14ac:dyDescent="0.2">
      <c r="A99" s="21"/>
      <c r="B99" s="21"/>
      <c r="C99" s="21"/>
      <c r="D99" s="23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12.75" x14ac:dyDescent="0.2">
      <c r="A100" s="21"/>
      <c r="B100" s="21"/>
      <c r="C100" s="21"/>
      <c r="D100" s="23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12.75" x14ac:dyDescent="0.2">
      <c r="A101" s="21"/>
      <c r="B101" s="21"/>
      <c r="C101" s="21"/>
      <c r="D101" s="23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12.75" x14ac:dyDescent="0.2">
      <c r="A102" s="21"/>
      <c r="B102" s="21"/>
      <c r="C102" s="21"/>
      <c r="D102" s="23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12.75" x14ac:dyDescent="0.2">
      <c r="A103" s="21"/>
      <c r="B103" s="21"/>
      <c r="C103" s="21"/>
      <c r="D103" s="23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12.75" x14ac:dyDescent="0.2">
      <c r="A104" s="21"/>
      <c r="B104" s="21"/>
      <c r="C104" s="21"/>
      <c r="D104" s="23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12.75" x14ac:dyDescent="0.2">
      <c r="A105" s="21"/>
      <c r="B105" s="21"/>
      <c r="C105" s="21"/>
      <c r="D105" s="23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2.75" x14ac:dyDescent="0.2">
      <c r="A106" s="21"/>
      <c r="B106" s="21"/>
      <c r="C106" s="21"/>
      <c r="D106" s="23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2.75" x14ac:dyDescent="0.2">
      <c r="A107" s="21"/>
      <c r="B107" s="21"/>
      <c r="C107" s="21"/>
      <c r="D107" s="23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12.75" x14ac:dyDescent="0.2">
      <c r="A108" s="21"/>
      <c r="B108" s="21"/>
      <c r="C108" s="21"/>
      <c r="D108" s="2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2.75" x14ac:dyDescent="0.2">
      <c r="A109" s="21"/>
      <c r="B109" s="21"/>
      <c r="C109" s="21"/>
      <c r="D109" s="23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12.75" x14ac:dyDescent="0.2">
      <c r="A110" s="21"/>
      <c r="B110" s="21"/>
      <c r="C110" s="21"/>
      <c r="D110" s="23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12.75" x14ac:dyDescent="0.2">
      <c r="A111" s="21"/>
      <c r="B111" s="21"/>
      <c r="C111" s="21"/>
      <c r="D111" s="23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12.75" x14ac:dyDescent="0.2">
      <c r="A112" s="21"/>
      <c r="B112" s="21"/>
      <c r="C112" s="21"/>
      <c r="D112" s="23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12.75" x14ac:dyDescent="0.2">
      <c r="A113" s="21"/>
      <c r="B113" s="21"/>
      <c r="C113" s="21"/>
      <c r="D113" s="23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12.75" x14ac:dyDescent="0.2">
      <c r="A114" s="21"/>
      <c r="B114" s="21"/>
      <c r="C114" s="21"/>
      <c r="D114" s="23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12.75" x14ac:dyDescent="0.2">
      <c r="A115" s="21"/>
      <c r="B115" s="21"/>
      <c r="C115" s="21"/>
      <c r="D115" s="23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12.75" x14ac:dyDescent="0.2">
      <c r="A116" s="21"/>
      <c r="B116" s="21"/>
      <c r="C116" s="21"/>
      <c r="D116" s="23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12.75" x14ac:dyDescent="0.2">
      <c r="A117" s="21"/>
      <c r="B117" s="21"/>
      <c r="C117" s="21"/>
      <c r="D117" s="23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12.75" x14ac:dyDescent="0.2">
      <c r="A118" s="21"/>
      <c r="B118" s="21"/>
      <c r="C118" s="21"/>
      <c r="D118" s="23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12.75" x14ac:dyDescent="0.2">
      <c r="A119" s="21"/>
      <c r="B119" s="21"/>
      <c r="C119" s="21"/>
      <c r="D119" s="23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12.75" x14ac:dyDescent="0.2">
      <c r="A120" s="21"/>
      <c r="B120" s="21"/>
      <c r="C120" s="21"/>
      <c r="D120" s="23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12.75" x14ac:dyDescent="0.2">
      <c r="A121" s="21"/>
      <c r="B121" s="21"/>
      <c r="C121" s="21"/>
      <c r="D121" s="23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12.75" x14ac:dyDescent="0.2">
      <c r="A122" s="21"/>
      <c r="B122" s="21"/>
      <c r="C122" s="21"/>
      <c r="D122" s="23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12.75" x14ac:dyDescent="0.2">
      <c r="A123" s="21"/>
      <c r="B123" s="21"/>
      <c r="C123" s="21"/>
      <c r="D123" s="23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12.75" x14ac:dyDescent="0.2">
      <c r="A124" s="21"/>
      <c r="B124" s="21"/>
      <c r="C124" s="21"/>
      <c r="D124" s="23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12.75" x14ac:dyDescent="0.2">
      <c r="A125" s="21"/>
      <c r="B125" s="21"/>
      <c r="C125" s="21"/>
      <c r="D125" s="23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12.75" x14ac:dyDescent="0.2">
      <c r="A126" s="21"/>
      <c r="B126" s="21"/>
      <c r="C126" s="21"/>
      <c r="D126" s="23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12.75" x14ac:dyDescent="0.2">
      <c r="A127" s="21"/>
      <c r="B127" s="21"/>
      <c r="C127" s="21"/>
      <c r="D127" s="23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12.75" x14ac:dyDescent="0.2">
      <c r="A128" s="21"/>
      <c r="B128" s="21"/>
      <c r="C128" s="21"/>
      <c r="D128" s="23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12.75" x14ac:dyDescent="0.2">
      <c r="A129" s="21"/>
      <c r="B129" s="21"/>
      <c r="C129" s="21"/>
      <c r="D129" s="23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12.75" x14ac:dyDescent="0.2">
      <c r="A130" s="21"/>
      <c r="B130" s="21"/>
      <c r="C130" s="21"/>
      <c r="D130" s="23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12.75" x14ac:dyDescent="0.2">
      <c r="A131" s="21"/>
      <c r="B131" s="21"/>
      <c r="C131" s="21"/>
      <c r="D131" s="23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12.75" x14ac:dyDescent="0.2">
      <c r="A132" s="21"/>
      <c r="B132" s="21"/>
      <c r="C132" s="21"/>
      <c r="D132" s="23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12.75" x14ac:dyDescent="0.2">
      <c r="A133" s="21"/>
      <c r="B133" s="21"/>
      <c r="C133" s="21"/>
      <c r="D133" s="23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12.75" x14ac:dyDescent="0.2">
      <c r="A134" s="21"/>
      <c r="B134" s="21"/>
      <c r="C134" s="21"/>
      <c r="D134" s="23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12.75" x14ac:dyDescent="0.2">
      <c r="A135" s="21"/>
      <c r="B135" s="21"/>
      <c r="C135" s="21"/>
      <c r="D135" s="23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12.75" x14ac:dyDescent="0.2">
      <c r="A136" s="21"/>
      <c r="B136" s="21"/>
      <c r="C136" s="21"/>
      <c r="D136" s="23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12.75" x14ac:dyDescent="0.2">
      <c r="A137" s="21"/>
      <c r="B137" s="21"/>
      <c r="C137" s="21"/>
      <c r="D137" s="23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12.75" x14ac:dyDescent="0.2">
      <c r="A138" s="21"/>
      <c r="B138" s="21"/>
      <c r="C138" s="21"/>
      <c r="D138" s="23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12.75" x14ac:dyDescent="0.2">
      <c r="A139" s="21"/>
      <c r="B139" s="21"/>
      <c r="C139" s="21"/>
      <c r="D139" s="23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12.75" x14ac:dyDescent="0.2">
      <c r="A140" s="21"/>
      <c r="B140" s="21"/>
      <c r="C140" s="21"/>
      <c r="D140" s="23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12.75" x14ac:dyDescent="0.2">
      <c r="A141" s="21"/>
      <c r="B141" s="21"/>
      <c r="C141" s="21"/>
      <c r="D141" s="23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12.75" x14ac:dyDescent="0.2">
      <c r="A142" s="21"/>
      <c r="B142" s="21"/>
      <c r="C142" s="21"/>
      <c r="D142" s="23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12.75" x14ac:dyDescent="0.2">
      <c r="A143" s="21"/>
      <c r="B143" s="21"/>
      <c r="C143" s="21"/>
      <c r="D143" s="23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12.75" x14ac:dyDescent="0.2">
      <c r="A144" s="21"/>
      <c r="B144" s="21"/>
      <c r="C144" s="21"/>
      <c r="D144" s="23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12.75" x14ac:dyDescent="0.2">
      <c r="A145" s="21"/>
      <c r="B145" s="21"/>
      <c r="C145" s="21"/>
      <c r="D145" s="23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12.75" x14ac:dyDescent="0.2">
      <c r="A146" s="21"/>
      <c r="B146" s="21"/>
      <c r="C146" s="21"/>
      <c r="D146" s="23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12.75" x14ac:dyDescent="0.2">
      <c r="A147" s="21"/>
      <c r="B147" s="21"/>
      <c r="C147" s="21"/>
      <c r="D147" s="23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12.75" x14ac:dyDescent="0.2">
      <c r="A148" s="21"/>
      <c r="B148" s="21"/>
      <c r="C148" s="21"/>
      <c r="D148" s="23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12.75" x14ac:dyDescent="0.2">
      <c r="A149" s="21"/>
      <c r="B149" s="21"/>
      <c r="C149" s="21"/>
      <c r="D149" s="23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12.75" x14ac:dyDescent="0.2">
      <c r="A150" s="21"/>
      <c r="B150" s="21"/>
      <c r="C150" s="21"/>
      <c r="D150" s="23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12.75" x14ac:dyDescent="0.2">
      <c r="A151" s="21"/>
      <c r="B151" s="21"/>
      <c r="C151" s="21"/>
      <c r="D151" s="23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12.75" x14ac:dyDescent="0.2">
      <c r="A152" s="21"/>
      <c r="B152" s="21"/>
      <c r="C152" s="21"/>
      <c r="D152" s="23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12.75" x14ac:dyDescent="0.2">
      <c r="A153" s="21"/>
      <c r="B153" s="21"/>
      <c r="C153" s="21"/>
      <c r="D153" s="23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12.75" x14ac:dyDescent="0.2">
      <c r="A154" s="21"/>
      <c r="B154" s="21"/>
      <c r="C154" s="21"/>
      <c r="D154" s="23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12.75" x14ac:dyDescent="0.2">
      <c r="A155" s="21"/>
      <c r="B155" s="21"/>
      <c r="C155" s="21"/>
      <c r="D155" s="23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12.75" x14ac:dyDescent="0.2">
      <c r="A156" s="21"/>
      <c r="B156" s="21"/>
      <c r="C156" s="21"/>
      <c r="D156" s="23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12.75" x14ac:dyDescent="0.2">
      <c r="A157" s="21"/>
      <c r="B157" s="21"/>
      <c r="C157" s="21"/>
      <c r="D157" s="23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12.75" x14ac:dyDescent="0.2">
      <c r="A158" s="21"/>
      <c r="B158" s="21"/>
      <c r="C158" s="21"/>
      <c r="D158" s="23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12.75" x14ac:dyDescent="0.2">
      <c r="A159" s="21"/>
      <c r="B159" s="21"/>
      <c r="C159" s="21"/>
      <c r="D159" s="23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12.75" x14ac:dyDescent="0.2">
      <c r="A160" s="21"/>
      <c r="B160" s="21"/>
      <c r="C160" s="21"/>
      <c r="D160" s="23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12.75" x14ac:dyDescent="0.2">
      <c r="A161" s="21"/>
      <c r="B161" s="21"/>
      <c r="C161" s="21"/>
      <c r="D161" s="23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12.75" x14ac:dyDescent="0.2">
      <c r="A162" s="21"/>
      <c r="B162" s="21"/>
      <c r="C162" s="21"/>
      <c r="D162" s="23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12.75" x14ac:dyDescent="0.2">
      <c r="A163" s="21"/>
      <c r="B163" s="21"/>
      <c r="C163" s="21"/>
      <c r="D163" s="23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12.75" x14ac:dyDescent="0.2">
      <c r="A164" s="21"/>
      <c r="B164" s="21"/>
      <c r="C164" s="21"/>
      <c r="D164" s="23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12.75" x14ac:dyDescent="0.2">
      <c r="A165" s="21"/>
      <c r="B165" s="21"/>
      <c r="C165" s="21"/>
      <c r="D165" s="23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12.75" x14ac:dyDescent="0.2">
      <c r="A166" s="21"/>
      <c r="B166" s="21"/>
      <c r="C166" s="21"/>
      <c r="D166" s="23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12.75" x14ac:dyDescent="0.2">
      <c r="A167" s="21"/>
      <c r="B167" s="21"/>
      <c r="C167" s="21"/>
      <c r="D167" s="23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12.75" x14ac:dyDescent="0.2">
      <c r="A168" s="21"/>
      <c r="B168" s="21"/>
      <c r="C168" s="21"/>
      <c r="D168" s="23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12.75" x14ac:dyDescent="0.2">
      <c r="A169" s="21"/>
      <c r="B169" s="21"/>
      <c r="C169" s="21"/>
      <c r="D169" s="23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12.75" x14ac:dyDescent="0.2">
      <c r="A170" s="21"/>
      <c r="B170" s="21"/>
      <c r="C170" s="21"/>
      <c r="D170" s="23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12.75" x14ac:dyDescent="0.2">
      <c r="A171" s="21"/>
      <c r="B171" s="21"/>
      <c r="C171" s="21"/>
      <c r="D171" s="23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12.75" x14ac:dyDescent="0.2">
      <c r="A172" s="21"/>
      <c r="B172" s="21"/>
      <c r="C172" s="21"/>
      <c r="D172" s="23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12.75" x14ac:dyDescent="0.2">
      <c r="A173" s="21"/>
      <c r="B173" s="21"/>
      <c r="C173" s="21"/>
      <c r="D173" s="23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12.75" x14ac:dyDescent="0.2">
      <c r="A174" s="21"/>
      <c r="B174" s="21"/>
      <c r="C174" s="21"/>
      <c r="D174" s="23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12.75" x14ac:dyDescent="0.2">
      <c r="A175" s="21"/>
      <c r="B175" s="21"/>
      <c r="C175" s="21"/>
      <c r="D175" s="23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12.75" x14ac:dyDescent="0.2">
      <c r="A176" s="21"/>
      <c r="B176" s="21"/>
      <c r="C176" s="21"/>
      <c r="D176" s="23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12.75" x14ac:dyDescent="0.2">
      <c r="A177" s="21"/>
      <c r="B177" s="21"/>
      <c r="C177" s="21"/>
      <c r="D177" s="23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12.75" x14ac:dyDescent="0.2">
      <c r="A178" s="21"/>
      <c r="B178" s="21"/>
      <c r="C178" s="21"/>
      <c r="D178" s="23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12.75" x14ac:dyDescent="0.2">
      <c r="A179" s="21"/>
      <c r="B179" s="21"/>
      <c r="C179" s="21"/>
      <c r="D179" s="23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12.75" x14ac:dyDescent="0.2">
      <c r="A180" s="21"/>
      <c r="B180" s="21"/>
      <c r="C180" s="21"/>
      <c r="D180" s="23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2.75" x14ac:dyDescent="0.2">
      <c r="A181" s="21"/>
      <c r="B181" s="21"/>
      <c r="C181" s="21"/>
      <c r="D181" s="23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12.75" x14ac:dyDescent="0.2">
      <c r="A182" s="21"/>
      <c r="B182" s="21"/>
      <c r="C182" s="21"/>
      <c r="D182" s="23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12.75" x14ac:dyDescent="0.2">
      <c r="A183" s="21"/>
      <c r="B183" s="21"/>
      <c r="C183" s="21"/>
      <c r="D183" s="23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12.75" x14ac:dyDescent="0.2">
      <c r="A184" s="21"/>
      <c r="B184" s="21"/>
      <c r="C184" s="21"/>
      <c r="D184" s="23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12.75" x14ac:dyDescent="0.2">
      <c r="A185" s="21"/>
      <c r="B185" s="21"/>
      <c r="C185" s="21"/>
      <c r="D185" s="23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12.75" x14ac:dyDescent="0.2">
      <c r="A186" s="21"/>
      <c r="B186" s="21"/>
      <c r="C186" s="21"/>
      <c r="D186" s="23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12.75" x14ac:dyDescent="0.2">
      <c r="A187" s="21"/>
      <c r="B187" s="21"/>
      <c r="C187" s="21"/>
      <c r="D187" s="23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12.75" x14ac:dyDescent="0.2">
      <c r="A188" s="21"/>
      <c r="B188" s="21"/>
      <c r="C188" s="21"/>
      <c r="D188" s="23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12.75" x14ac:dyDescent="0.2">
      <c r="A189" s="21"/>
      <c r="B189" s="21"/>
      <c r="C189" s="21"/>
      <c r="D189" s="23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2.75" x14ac:dyDescent="0.2">
      <c r="A190" s="21"/>
      <c r="B190" s="21"/>
      <c r="C190" s="21"/>
      <c r="D190" s="23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12.75" x14ac:dyDescent="0.2">
      <c r="A191" s="21"/>
      <c r="B191" s="21"/>
      <c r="C191" s="21"/>
      <c r="D191" s="23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12.75" x14ac:dyDescent="0.2">
      <c r="A192" s="21"/>
      <c r="B192" s="21"/>
      <c r="C192" s="21"/>
      <c r="D192" s="23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12.75" x14ac:dyDescent="0.2">
      <c r="A193" s="21"/>
      <c r="B193" s="21"/>
      <c r="C193" s="21"/>
      <c r="D193" s="23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12.75" x14ac:dyDescent="0.2">
      <c r="A194" s="21"/>
      <c r="B194" s="21"/>
      <c r="C194" s="21"/>
      <c r="D194" s="23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2.75" x14ac:dyDescent="0.2">
      <c r="A195" s="21"/>
      <c r="B195" s="21"/>
      <c r="C195" s="21"/>
      <c r="D195" s="23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2.75" x14ac:dyDescent="0.2">
      <c r="A196" s="21"/>
      <c r="B196" s="21"/>
      <c r="C196" s="21"/>
      <c r="D196" s="23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12.75" x14ac:dyDescent="0.2">
      <c r="A197" s="21"/>
      <c r="B197" s="21"/>
      <c r="C197" s="21"/>
      <c r="D197" s="23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12.75" x14ac:dyDescent="0.2">
      <c r="A198" s="21"/>
      <c r="B198" s="21"/>
      <c r="C198" s="21"/>
      <c r="D198" s="23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2.75" x14ac:dyDescent="0.2">
      <c r="A199" s="21"/>
      <c r="B199" s="21"/>
      <c r="C199" s="21"/>
      <c r="D199" s="23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2.75" x14ac:dyDescent="0.2">
      <c r="A200" s="21"/>
      <c r="B200" s="21"/>
      <c r="C200" s="21"/>
      <c r="D200" s="23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2.75" x14ac:dyDescent="0.2">
      <c r="A201" s="21"/>
      <c r="B201" s="21"/>
      <c r="C201" s="21"/>
      <c r="D201" s="23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2.75" x14ac:dyDescent="0.2">
      <c r="A202" s="21"/>
      <c r="B202" s="21"/>
      <c r="C202" s="21"/>
      <c r="D202" s="23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2.75" x14ac:dyDescent="0.2">
      <c r="A203" s="21"/>
      <c r="B203" s="21"/>
      <c r="C203" s="21"/>
      <c r="D203" s="23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2.75" x14ac:dyDescent="0.2">
      <c r="A204" s="21"/>
      <c r="B204" s="21"/>
      <c r="C204" s="21"/>
      <c r="D204" s="23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2.75" x14ac:dyDescent="0.2">
      <c r="A205" s="21"/>
      <c r="B205" s="21"/>
      <c r="C205" s="21"/>
      <c r="D205" s="23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2.75" x14ac:dyDescent="0.2">
      <c r="A206" s="21"/>
      <c r="B206" s="21"/>
      <c r="C206" s="21"/>
      <c r="D206" s="23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2.75" x14ac:dyDescent="0.2">
      <c r="A207" s="21"/>
      <c r="B207" s="21"/>
      <c r="C207" s="21"/>
      <c r="D207" s="23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2.75" x14ac:dyDescent="0.2">
      <c r="A208" s="21"/>
      <c r="B208" s="21"/>
      <c r="C208" s="21"/>
      <c r="D208" s="23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2.75" x14ac:dyDescent="0.2">
      <c r="A209" s="21"/>
      <c r="B209" s="21"/>
      <c r="C209" s="21"/>
      <c r="D209" s="23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2.75" x14ac:dyDescent="0.2">
      <c r="A210" s="21"/>
      <c r="B210" s="21"/>
      <c r="C210" s="21"/>
      <c r="D210" s="23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2.75" x14ac:dyDescent="0.2">
      <c r="A211" s="21"/>
      <c r="B211" s="21"/>
      <c r="C211" s="21"/>
      <c r="D211" s="23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2.75" x14ac:dyDescent="0.2">
      <c r="A212" s="21"/>
      <c r="B212" s="21"/>
      <c r="C212" s="21"/>
      <c r="D212" s="23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2.75" x14ac:dyDescent="0.2">
      <c r="A213" s="21"/>
      <c r="B213" s="21"/>
      <c r="C213" s="21"/>
      <c r="D213" s="23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2.75" x14ac:dyDescent="0.2">
      <c r="A214" s="21"/>
      <c r="B214" s="21"/>
      <c r="C214" s="21"/>
      <c r="D214" s="23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2.75" x14ac:dyDescent="0.2">
      <c r="A215" s="21"/>
      <c r="B215" s="21"/>
      <c r="C215" s="21"/>
      <c r="D215" s="23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2.75" x14ac:dyDescent="0.2">
      <c r="A216" s="21"/>
      <c r="B216" s="21"/>
      <c r="C216" s="21"/>
      <c r="D216" s="23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2.75" x14ac:dyDescent="0.2">
      <c r="A217" s="21"/>
      <c r="B217" s="21"/>
      <c r="C217" s="21"/>
      <c r="D217" s="23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2.75" x14ac:dyDescent="0.2">
      <c r="A218" s="21"/>
      <c r="B218" s="21"/>
      <c r="C218" s="21"/>
      <c r="D218" s="23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2.75" x14ac:dyDescent="0.2">
      <c r="A219" s="21"/>
      <c r="B219" s="21"/>
      <c r="C219" s="21"/>
      <c r="D219" s="23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2.75" x14ac:dyDescent="0.2">
      <c r="A220" s="21"/>
      <c r="B220" s="21"/>
      <c r="C220" s="21"/>
      <c r="D220" s="23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2.75" x14ac:dyDescent="0.2">
      <c r="A221" s="21"/>
      <c r="B221" s="21"/>
      <c r="C221" s="21"/>
      <c r="D221" s="23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2.75" x14ac:dyDescent="0.2">
      <c r="A222" s="21"/>
      <c r="B222" s="21"/>
      <c r="C222" s="21"/>
      <c r="D222" s="23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2.75" x14ac:dyDescent="0.2">
      <c r="A223" s="21"/>
      <c r="B223" s="21"/>
      <c r="C223" s="21"/>
      <c r="D223" s="23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2.75" x14ac:dyDescent="0.2">
      <c r="A224" s="21"/>
      <c r="B224" s="21"/>
      <c r="C224" s="21"/>
      <c r="D224" s="23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2.75" x14ac:dyDescent="0.2">
      <c r="A225" s="21"/>
      <c r="B225" s="21"/>
      <c r="C225" s="21"/>
      <c r="D225" s="23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2.75" x14ac:dyDescent="0.2">
      <c r="A226" s="21"/>
      <c r="B226" s="21"/>
      <c r="C226" s="21"/>
      <c r="D226" s="23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2.75" x14ac:dyDescent="0.2">
      <c r="A227" s="21"/>
      <c r="B227" s="21"/>
      <c r="C227" s="21"/>
      <c r="D227" s="23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2.75" x14ac:dyDescent="0.2">
      <c r="A228" s="21"/>
      <c r="B228" s="21"/>
      <c r="C228" s="21"/>
      <c r="D228" s="23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2.75" x14ac:dyDescent="0.2">
      <c r="A229" s="21"/>
      <c r="B229" s="21"/>
      <c r="C229" s="21"/>
      <c r="D229" s="23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2.75" x14ac:dyDescent="0.2">
      <c r="A230" s="21"/>
      <c r="B230" s="21"/>
      <c r="C230" s="21"/>
      <c r="D230" s="23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2.75" x14ac:dyDescent="0.2">
      <c r="A231" s="21"/>
      <c r="B231" s="21"/>
      <c r="C231" s="21"/>
      <c r="D231" s="23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2.75" x14ac:dyDescent="0.2">
      <c r="A232" s="21"/>
      <c r="B232" s="21"/>
      <c r="C232" s="21"/>
      <c r="D232" s="23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2.75" x14ac:dyDescent="0.2">
      <c r="A233" s="21"/>
      <c r="B233" s="21"/>
      <c r="C233" s="21"/>
      <c r="D233" s="23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2.75" x14ac:dyDescent="0.2">
      <c r="A234" s="21"/>
      <c r="B234" s="21"/>
      <c r="C234" s="21"/>
      <c r="D234" s="23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2.75" x14ac:dyDescent="0.2">
      <c r="A235" s="21"/>
      <c r="B235" s="21"/>
      <c r="C235" s="21"/>
      <c r="D235" s="23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2.75" x14ac:dyDescent="0.2">
      <c r="A236" s="21"/>
      <c r="B236" s="21"/>
      <c r="C236" s="21"/>
      <c r="D236" s="23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2.75" x14ac:dyDescent="0.2">
      <c r="A237" s="21"/>
      <c r="B237" s="21"/>
      <c r="C237" s="21"/>
      <c r="D237" s="23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2.75" x14ac:dyDescent="0.2">
      <c r="A238" s="21"/>
      <c r="B238" s="21"/>
      <c r="C238" s="21"/>
      <c r="D238" s="23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2.75" x14ac:dyDescent="0.2">
      <c r="A239" s="21"/>
      <c r="B239" s="21"/>
      <c r="C239" s="21"/>
      <c r="D239" s="23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2.75" x14ac:dyDescent="0.2">
      <c r="A240" s="21"/>
      <c r="B240" s="21"/>
      <c r="C240" s="21"/>
      <c r="D240" s="23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2.75" x14ac:dyDescent="0.2">
      <c r="A241" s="21"/>
      <c r="B241" s="21"/>
      <c r="C241" s="21"/>
      <c r="D241" s="23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2.75" x14ac:dyDescent="0.2">
      <c r="A242" s="21"/>
      <c r="B242" s="21"/>
      <c r="C242" s="21"/>
      <c r="D242" s="23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2.75" x14ac:dyDescent="0.2">
      <c r="A243" s="21"/>
      <c r="B243" s="21"/>
      <c r="C243" s="21"/>
      <c r="D243" s="23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2.75" x14ac:dyDescent="0.2">
      <c r="A244" s="21"/>
      <c r="B244" s="21"/>
      <c r="C244" s="21"/>
      <c r="D244" s="23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2.75" x14ac:dyDescent="0.2">
      <c r="A245" s="21"/>
      <c r="B245" s="21"/>
      <c r="C245" s="21"/>
      <c r="D245" s="23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2.75" x14ac:dyDescent="0.2">
      <c r="A246" s="21"/>
      <c r="B246" s="21"/>
      <c r="C246" s="21"/>
      <c r="D246" s="23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2.75" x14ac:dyDescent="0.2">
      <c r="A247" s="21"/>
      <c r="B247" s="21"/>
      <c r="C247" s="21"/>
      <c r="D247" s="23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2.75" x14ac:dyDescent="0.2">
      <c r="A248" s="21"/>
      <c r="B248" s="21"/>
      <c r="C248" s="21"/>
      <c r="D248" s="23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2.75" x14ac:dyDescent="0.2">
      <c r="A249" s="21"/>
      <c r="B249" s="21"/>
      <c r="C249" s="21"/>
      <c r="D249" s="23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2.75" x14ac:dyDescent="0.2">
      <c r="A250" s="21"/>
      <c r="B250" s="21"/>
      <c r="C250" s="21"/>
      <c r="D250" s="23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2.75" x14ac:dyDescent="0.2">
      <c r="A251" s="21"/>
      <c r="B251" s="21"/>
      <c r="C251" s="21"/>
      <c r="D251" s="23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2.75" x14ac:dyDescent="0.2">
      <c r="A252" s="21"/>
      <c r="B252" s="21"/>
      <c r="C252" s="21"/>
      <c r="D252" s="23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2.75" x14ac:dyDescent="0.2">
      <c r="A253" s="21"/>
      <c r="B253" s="21"/>
      <c r="C253" s="21"/>
      <c r="D253" s="23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2.75" x14ac:dyDescent="0.2">
      <c r="A254" s="21"/>
      <c r="B254" s="21"/>
      <c r="C254" s="21"/>
      <c r="D254" s="23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2.75" x14ac:dyDescent="0.2">
      <c r="A255" s="21"/>
      <c r="B255" s="21"/>
      <c r="C255" s="21"/>
      <c r="D255" s="23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2.75" x14ac:dyDescent="0.2">
      <c r="A256" s="21"/>
      <c r="B256" s="21"/>
      <c r="C256" s="21"/>
      <c r="D256" s="23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2.75" x14ac:dyDescent="0.2">
      <c r="A257" s="21"/>
      <c r="B257" s="21"/>
      <c r="C257" s="21"/>
      <c r="D257" s="23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2.75" x14ac:dyDescent="0.2">
      <c r="A258" s="21"/>
      <c r="B258" s="21"/>
      <c r="C258" s="21"/>
      <c r="D258" s="23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2.75" x14ac:dyDescent="0.2">
      <c r="A259" s="21"/>
      <c r="B259" s="21"/>
      <c r="C259" s="21"/>
      <c r="D259" s="23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2.75" x14ac:dyDescent="0.2">
      <c r="A260" s="21"/>
      <c r="B260" s="21"/>
      <c r="C260" s="21"/>
      <c r="D260" s="23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2.75" x14ac:dyDescent="0.2">
      <c r="A261" s="21"/>
      <c r="B261" s="21"/>
      <c r="C261" s="21"/>
      <c r="D261" s="23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2.75" x14ac:dyDescent="0.2">
      <c r="A262" s="21"/>
      <c r="B262" s="21"/>
      <c r="C262" s="21"/>
      <c r="D262" s="23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2.75" x14ac:dyDescent="0.2">
      <c r="A263" s="21"/>
      <c r="B263" s="21"/>
      <c r="C263" s="21"/>
      <c r="D263" s="23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2.75" x14ac:dyDescent="0.2">
      <c r="A264" s="21"/>
      <c r="B264" s="21"/>
      <c r="C264" s="21"/>
      <c r="D264" s="23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2.75" x14ac:dyDescent="0.2">
      <c r="A265" s="21"/>
      <c r="B265" s="21"/>
      <c r="C265" s="21"/>
      <c r="D265" s="23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2.75" x14ac:dyDescent="0.2">
      <c r="A266" s="21"/>
      <c r="B266" s="21"/>
      <c r="C266" s="21"/>
      <c r="D266" s="23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2.75" x14ac:dyDescent="0.2">
      <c r="A267" s="21"/>
      <c r="B267" s="21"/>
      <c r="C267" s="21"/>
      <c r="D267" s="23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2.75" x14ac:dyDescent="0.2">
      <c r="A268" s="21"/>
      <c r="B268" s="21"/>
      <c r="C268" s="21"/>
      <c r="D268" s="23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2.75" x14ac:dyDescent="0.2">
      <c r="A269" s="21"/>
      <c r="B269" s="21"/>
      <c r="C269" s="21"/>
      <c r="D269" s="23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2.75" x14ac:dyDescent="0.2">
      <c r="A270" s="21"/>
      <c r="B270" s="21"/>
      <c r="C270" s="21"/>
      <c r="D270" s="23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2.75" x14ac:dyDescent="0.2">
      <c r="A271" s="21"/>
      <c r="B271" s="21"/>
      <c r="C271" s="21"/>
      <c r="D271" s="23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2.75" x14ac:dyDescent="0.2">
      <c r="A272" s="21"/>
      <c r="B272" s="21"/>
      <c r="C272" s="21"/>
      <c r="D272" s="23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2.75" x14ac:dyDescent="0.2">
      <c r="A273" s="21"/>
      <c r="B273" s="21"/>
      <c r="C273" s="21"/>
      <c r="D273" s="23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2.75" x14ac:dyDescent="0.2">
      <c r="A274" s="21"/>
      <c r="B274" s="21"/>
      <c r="C274" s="21"/>
      <c r="D274" s="23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2.75" x14ac:dyDescent="0.2">
      <c r="A275" s="21"/>
      <c r="B275" s="21"/>
      <c r="C275" s="21"/>
      <c r="D275" s="23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2.75" x14ac:dyDescent="0.2">
      <c r="A276" s="21"/>
      <c r="B276" s="21"/>
      <c r="C276" s="21"/>
      <c r="D276" s="23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2.75" x14ac:dyDescent="0.2">
      <c r="A277" s="21"/>
      <c r="B277" s="21"/>
      <c r="C277" s="21"/>
      <c r="D277" s="23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2.75" x14ac:dyDescent="0.2">
      <c r="A278" s="21"/>
      <c r="B278" s="21"/>
      <c r="C278" s="21"/>
      <c r="D278" s="23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2.75" x14ac:dyDescent="0.2">
      <c r="A279" s="21"/>
      <c r="B279" s="21"/>
      <c r="C279" s="21"/>
      <c r="D279" s="23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2.75" x14ac:dyDescent="0.2">
      <c r="A280" s="21"/>
      <c r="B280" s="21"/>
      <c r="C280" s="21"/>
      <c r="D280" s="23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2.75" x14ac:dyDescent="0.2">
      <c r="A281" s="21"/>
      <c r="B281" s="21"/>
      <c r="C281" s="21"/>
      <c r="D281" s="23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2.75" x14ac:dyDescent="0.2">
      <c r="A282" s="21"/>
      <c r="B282" s="21"/>
      <c r="C282" s="21"/>
      <c r="D282" s="23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2.75" x14ac:dyDescent="0.2">
      <c r="A283" s="21"/>
      <c r="B283" s="21"/>
      <c r="C283" s="21"/>
      <c r="D283" s="23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2.75" x14ac:dyDescent="0.2">
      <c r="A284" s="21"/>
      <c r="B284" s="21"/>
      <c r="C284" s="21"/>
      <c r="D284" s="23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2.75" x14ac:dyDescent="0.2">
      <c r="A285" s="21"/>
      <c r="B285" s="21"/>
      <c r="C285" s="21"/>
      <c r="D285" s="23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2.75" x14ac:dyDescent="0.2">
      <c r="A286" s="21"/>
      <c r="B286" s="21"/>
      <c r="C286" s="21"/>
      <c r="D286" s="23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2.75" x14ac:dyDescent="0.2">
      <c r="A287" s="21"/>
      <c r="B287" s="21"/>
      <c r="C287" s="21"/>
      <c r="D287" s="23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2.75" x14ac:dyDescent="0.2">
      <c r="A288" s="21"/>
      <c r="B288" s="21"/>
      <c r="C288" s="21"/>
      <c r="D288" s="23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2.75" x14ac:dyDescent="0.2">
      <c r="A289" s="21"/>
      <c r="B289" s="21"/>
      <c r="C289" s="21"/>
      <c r="D289" s="23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2.75" x14ac:dyDescent="0.2">
      <c r="A290" s="21"/>
      <c r="B290" s="21"/>
      <c r="C290" s="21"/>
      <c r="D290" s="23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2.75" x14ac:dyDescent="0.2">
      <c r="A291" s="21"/>
      <c r="B291" s="21"/>
      <c r="C291" s="21"/>
      <c r="D291" s="23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2.75" x14ac:dyDescent="0.2">
      <c r="A292" s="21"/>
      <c r="B292" s="21"/>
      <c r="C292" s="21"/>
      <c r="D292" s="23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2.75" x14ac:dyDescent="0.2">
      <c r="A293" s="21"/>
      <c r="B293" s="21"/>
      <c r="C293" s="21"/>
      <c r="D293" s="23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2.75" x14ac:dyDescent="0.2">
      <c r="A294" s="21"/>
      <c r="B294" s="21"/>
      <c r="C294" s="21"/>
      <c r="D294" s="23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2.75" x14ac:dyDescent="0.2">
      <c r="A295" s="21"/>
      <c r="B295" s="21"/>
      <c r="C295" s="21"/>
      <c r="D295" s="23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2.75" x14ac:dyDescent="0.2">
      <c r="A296" s="21"/>
      <c r="B296" s="21"/>
      <c r="C296" s="21"/>
      <c r="D296" s="23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2.75" x14ac:dyDescent="0.2">
      <c r="A297" s="21"/>
      <c r="B297" s="21"/>
      <c r="C297" s="21"/>
      <c r="D297" s="23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2.75" x14ac:dyDescent="0.2">
      <c r="A298" s="21"/>
      <c r="B298" s="21"/>
      <c r="C298" s="21"/>
      <c r="D298" s="23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2.75" x14ac:dyDescent="0.2">
      <c r="A299" s="21"/>
      <c r="B299" s="21"/>
      <c r="C299" s="21"/>
      <c r="D299" s="23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2.75" x14ac:dyDescent="0.2">
      <c r="A300" s="21"/>
      <c r="B300" s="21"/>
      <c r="C300" s="21"/>
      <c r="D300" s="23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2.75" x14ac:dyDescent="0.2">
      <c r="A301" s="21"/>
      <c r="B301" s="21"/>
      <c r="C301" s="21"/>
      <c r="D301" s="23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2.75" x14ac:dyDescent="0.2">
      <c r="A302" s="21"/>
      <c r="B302" s="21"/>
      <c r="C302" s="21"/>
      <c r="D302" s="23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2.75" x14ac:dyDescent="0.2">
      <c r="A303" s="21"/>
      <c r="B303" s="21"/>
      <c r="C303" s="21"/>
      <c r="D303" s="23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2.75" x14ac:dyDescent="0.2">
      <c r="A304" s="21"/>
      <c r="B304" s="21"/>
      <c r="C304" s="21"/>
      <c r="D304" s="23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2.75" x14ac:dyDescent="0.2">
      <c r="A305" s="21"/>
      <c r="B305" s="21"/>
      <c r="C305" s="21"/>
      <c r="D305" s="23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2.75" x14ac:dyDescent="0.2">
      <c r="A306" s="21"/>
      <c r="B306" s="21"/>
      <c r="C306" s="21"/>
      <c r="D306" s="23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2.75" x14ac:dyDescent="0.2">
      <c r="A307" s="21"/>
      <c r="B307" s="21"/>
      <c r="C307" s="21"/>
      <c r="D307" s="23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2.75" x14ac:dyDescent="0.2">
      <c r="A308" s="21"/>
      <c r="B308" s="21"/>
      <c r="C308" s="21"/>
      <c r="D308" s="23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2.75" x14ac:dyDescent="0.2">
      <c r="A309" s="21"/>
      <c r="B309" s="21"/>
      <c r="C309" s="21"/>
      <c r="D309" s="23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2.75" x14ac:dyDescent="0.2">
      <c r="A310" s="21"/>
      <c r="B310" s="21"/>
      <c r="C310" s="21"/>
      <c r="D310" s="23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2.75" x14ac:dyDescent="0.2">
      <c r="A311" s="21"/>
      <c r="B311" s="21"/>
      <c r="C311" s="21"/>
      <c r="D311" s="23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2.75" x14ac:dyDescent="0.2">
      <c r="A312" s="21"/>
      <c r="B312" s="21"/>
      <c r="C312" s="21"/>
      <c r="D312" s="23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2.75" x14ac:dyDescent="0.2">
      <c r="A313" s="21"/>
      <c r="B313" s="21"/>
      <c r="C313" s="21"/>
      <c r="D313" s="23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2.75" x14ac:dyDescent="0.2">
      <c r="A314" s="21"/>
      <c r="B314" s="21"/>
      <c r="C314" s="21"/>
      <c r="D314" s="23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2.75" x14ac:dyDescent="0.2">
      <c r="A315" s="21"/>
      <c r="B315" s="21"/>
      <c r="C315" s="21"/>
      <c r="D315" s="23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2.75" x14ac:dyDescent="0.2">
      <c r="A316" s="21"/>
      <c r="B316" s="21"/>
      <c r="C316" s="21"/>
      <c r="D316" s="23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2.75" x14ac:dyDescent="0.2">
      <c r="A317" s="21"/>
      <c r="B317" s="21"/>
      <c r="C317" s="21"/>
      <c r="D317" s="23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2.75" x14ac:dyDescent="0.2">
      <c r="A318" s="21"/>
      <c r="B318" s="21"/>
      <c r="C318" s="21"/>
      <c r="D318" s="23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2.75" x14ac:dyDescent="0.2">
      <c r="A319" s="21"/>
      <c r="B319" s="21"/>
      <c r="C319" s="21"/>
      <c r="D319" s="23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2.75" x14ac:dyDescent="0.2">
      <c r="A320" s="21"/>
      <c r="B320" s="21"/>
      <c r="C320" s="21"/>
      <c r="D320" s="23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2.75" x14ac:dyDescent="0.2">
      <c r="A321" s="21"/>
      <c r="B321" s="21"/>
      <c r="C321" s="21"/>
      <c r="D321" s="23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2.75" x14ac:dyDescent="0.2">
      <c r="A322" s="21"/>
      <c r="B322" s="21"/>
      <c r="C322" s="21"/>
      <c r="D322" s="23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2.75" x14ac:dyDescent="0.2">
      <c r="A323" s="21"/>
      <c r="B323" s="21"/>
      <c r="C323" s="21"/>
      <c r="D323" s="23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2.75" x14ac:dyDescent="0.2">
      <c r="A324" s="21"/>
      <c r="B324" s="21"/>
      <c r="C324" s="21"/>
      <c r="D324" s="23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2.75" x14ac:dyDescent="0.2">
      <c r="A325" s="21"/>
      <c r="B325" s="21"/>
      <c r="C325" s="21"/>
      <c r="D325" s="23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2.75" x14ac:dyDescent="0.2">
      <c r="A326" s="21"/>
      <c r="B326" s="21"/>
      <c r="C326" s="21"/>
      <c r="D326" s="23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2.75" x14ac:dyDescent="0.2">
      <c r="A327" s="21"/>
      <c r="B327" s="21"/>
      <c r="C327" s="21"/>
      <c r="D327" s="23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2.75" x14ac:dyDescent="0.2">
      <c r="A328" s="21"/>
      <c r="B328" s="21"/>
      <c r="C328" s="21"/>
      <c r="D328" s="23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2.75" x14ac:dyDescent="0.2">
      <c r="A329" s="21"/>
      <c r="B329" s="21"/>
      <c r="C329" s="21"/>
      <c r="D329" s="23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2.75" x14ac:dyDescent="0.2">
      <c r="A330" s="21"/>
      <c r="B330" s="21"/>
      <c r="C330" s="21"/>
      <c r="D330" s="23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2.75" x14ac:dyDescent="0.2">
      <c r="A331" s="21"/>
      <c r="B331" s="21"/>
      <c r="C331" s="21"/>
      <c r="D331" s="23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2.75" x14ac:dyDescent="0.2">
      <c r="A332" s="21"/>
      <c r="B332" s="21"/>
      <c r="C332" s="21"/>
      <c r="D332" s="23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2.75" x14ac:dyDescent="0.2">
      <c r="A333" s="21"/>
      <c r="B333" s="21"/>
      <c r="C333" s="21"/>
      <c r="D333" s="23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2.75" x14ac:dyDescent="0.2">
      <c r="A334" s="21"/>
      <c r="B334" s="21"/>
      <c r="C334" s="21"/>
      <c r="D334" s="23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2.75" x14ac:dyDescent="0.2">
      <c r="A335" s="21"/>
      <c r="B335" s="21"/>
      <c r="C335" s="21"/>
      <c r="D335" s="23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2.75" x14ac:dyDescent="0.2">
      <c r="A336" s="21"/>
      <c r="B336" s="21"/>
      <c r="C336" s="21"/>
      <c r="D336" s="23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2.75" x14ac:dyDescent="0.2">
      <c r="A337" s="21"/>
      <c r="B337" s="21"/>
      <c r="C337" s="21"/>
      <c r="D337" s="23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2.75" x14ac:dyDescent="0.2">
      <c r="A338" s="21"/>
      <c r="B338" s="21"/>
      <c r="C338" s="21"/>
      <c r="D338" s="23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2.75" x14ac:dyDescent="0.2">
      <c r="A339" s="21"/>
      <c r="B339" s="21"/>
      <c r="C339" s="21"/>
      <c r="D339" s="23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2.75" x14ac:dyDescent="0.2">
      <c r="A340" s="21"/>
      <c r="B340" s="21"/>
      <c r="C340" s="21"/>
      <c r="D340" s="23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2.75" x14ac:dyDescent="0.2">
      <c r="A341" s="21"/>
      <c r="B341" s="21"/>
      <c r="C341" s="21"/>
      <c r="D341" s="23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2.75" x14ac:dyDescent="0.2">
      <c r="A342" s="21"/>
      <c r="B342" s="21"/>
      <c r="C342" s="21"/>
      <c r="D342" s="23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2.75" x14ac:dyDescent="0.2">
      <c r="A343" s="21"/>
      <c r="B343" s="21"/>
      <c r="C343" s="21"/>
      <c r="D343" s="23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2.75" x14ac:dyDescent="0.2">
      <c r="A344" s="21"/>
      <c r="B344" s="21"/>
      <c r="C344" s="21"/>
      <c r="D344" s="23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2.75" x14ac:dyDescent="0.2">
      <c r="A345" s="21"/>
      <c r="B345" s="21"/>
      <c r="C345" s="21"/>
      <c r="D345" s="23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2.75" x14ac:dyDescent="0.2">
      <c r="A346" s="21"/>
      <c r="B346" s="21"/>
      <c r="C346" s="21"/>
      <c r="D346" s="23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2.75" x14ac:dyDescent="0.2">
      <c r="A347" s="21"/>
      <c r="B347" s="21"/>
      <c r="C347" s="21"/>
      <c r="D347" s="23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2.75" x14ac:dyDescent="0.2">
      <c r="A348" s="21"/>
      <c r="B348" s="21"/>
      <c r="C348" s="21"/>
      <c r="D348" s="23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2.75" x14ac:dyDescent="0.2">
      <c r="A349" s="21"/>
      <c r="B349" s="21"/>
      <c r="C349" s="21"/>
      <c r="D349" s="23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2.75" x14ac:dyDescent="0.2">
      <c r="A350" s="21"/>
      <c r="B350" s="21"/>
      <c r="C350" s="21"/>
      <c r="D350" s="23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2.75" x14ac:dyDescent="0.2">
      <c r="A351" s="21"/>
      <c r="B351" s="21"/>
      <c r="C351" s="21"/>
      <c r="D351" s="23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2.75" x14ac:dyDescent="0.2">
      <c r="A352" s="21"/>
      <c r="B352" s="21"/>
      <c r="C352" s="21"/>
      <c r="D352" s="23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2.75" x14ac:dyDescent="0.2">
      <c r="A353" s="21"/>
      <c r="B353" s="21"/>
      <c r="C353" s="21"/>
      <c r="D353" s="23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2.75" x14ac:dyDescent="0.2">
      <c r="A354" s="21"/>
      <c r="B354" s="21"/>
      <c r="C354" s="21"/>
      <c r="D354" s="23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2.75" x14ac:dyDescent="0.2">
      <c r="A355" s="21"/>
      <c r="B355" s="21"/>
      <c r="C355" s="21"/>
      <c r="D355" s="23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2.75" x14ac:dyDescent="0.2">
      <c r="A356" s="21"/>
      <c r="B356" s="21"/>
      <c r="C356" s="21"/>
      <c r="D356" s="23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2.75" x14ac:dyDescent="0.2">
      <c r="A357" s="21"/>
      <c r="B357" s="21"/>
      <c r="C357" s="21"/>
      <c r="D357" s="23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2.75" x14ac:dyDescent="0.2">
      <c r="A358" s="21"/>
      <c r="B358" s="21"/>
      <c r="C358" s="21"/>
      <c r="D358" s="23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2.75" x14ac:dyDescent="0.2">
      <c r="A359" s="21"/>
      <c r="B359" s="21"/>
      <c r="C359" s="21"/>
      <c r="D359" s="23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2.75" x14ac:dyDescent="0.2">
      <c r="A360" s="21"/>
      <c r="B360" s="21"/>
      <c r="C360" s="21"/>
      <c r="D360" s="23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2.75" x14ac:dyDescent="0.2">
      <c r="A361" s="21"/>
      <c r="B361" s="21"/>
      <c r="C361" s="21"/>
      <c r="D361" s="23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2.75" x14ac:dyDescent="0.2">
      <c r="A362" s="21"/>
      <c r="B362" s="21"/>
      <c r="C362" s="21"/>
      <c r="D362" s="23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2.75" x14ac:dyDescent="0.2">
      <c r="A363" s="21"/>
      <c r="B363" s="21"/>
      <c r="C363" s="21"/>
      <c r="D363" s="23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2.75" x14ac:dyDescent="0.2">
      <c r="A364" s="21"/>
      <c r="B364" s="21"/>
      <c r="C364" s="21"/>
      <c r="D364" s="23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2.75" x14ac:dyDescent="0.2">
      <c r="A365" s="21"/>
      <c r="B365" s="21"/>
      <c r="C365" s="21"/>
      <c r="D365" s="23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2.75" x14ac:dyDescent="0.2">
      <c r="A366" s="21"/>
      <c r="B366" s="21"/>
      <c r="C366" s="21"/>
      <c r="D366" s="23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2.75" x14ac:dyDescent="0.2">
      <c r="A367" s="21"/>
      <c r="B367" s="21"/>
      <c r="C367" s="21"/>
      <c r="D367" s="23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2.75" x14ac:dyDescent="0.2">
      <c r="A368" s="21"/>
      <c r="B368" s="21"/>
      <c r="C368" s="21"/>
      <c r="D368" s="23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2.75" x14ac:dyDescent="0.2">
      <c r="A369" s="21"/>
      <c r="B369" s="21"/>
      <c r="C369" s="21"/>
      <c r="D369" s="23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2.75" x14ac:dyDescent="0.2">
      <c r="A370" s="21"/>
      <c r="B370" s="21"/>
      <c r="C370" s="21"/>
      <c r="D370" s="23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2.75" x14ac:dyDescent="0.2">
      <c r="A371" s="21"/>
      <c r="B371" s="21"/>
      <c r="C371" s="21"/>
      <c r="D371" s="23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2.75" x14ac:dyDescent="0.2">
      <c r="A372" s="21"/>
      <c r="B372" s="21"/>
      <c r="C372" s="21"/>
      <c r="D372" s="23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2.75" x14ac:dyDescent="0.2">
      <c r="A373" s="21"/>
      <c r="B373" s="21"/>
      <c r="C373" s="21"/>
      <c r="D373" s="23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2.75" x14ac:dyDescent="0.2">
      <c r="A374" s="21"/>
      <c r="B374" s="21"/>
      <c r="C374" s="21"/>
      <c r="D374" s="23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2.75" x14ac:dyDescent="0.2">
      <c r="A375" s="21"/>
      <c r="B375" s="21"/>
      <c r="C375" s="21"/>
      <c r="D375" s="23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2.75" x14ac:dyDescent="0.2">
      <c r="A376" s="21"/>
      <c r="B376" s="21"/>
      <c r="C376" s="21"/>
      <c r="D376" s="23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2.75" x14ac:dyDescent="0.2">
      <c r="A377" s="21"/>
      <c r="B377" s="21"/>
      <c r="C377" s="21"/>
      <c r="D377" s="23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2.75" x14ac:dyDescent="0.2">
      <c r="A378" s="21"/>
      <c r="B378" s="21"/>
      <c r="C378" s="21"/>
      <c r="D378" s="23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2.75" x14ac:dyDescent="0.2">
      <c r="A379" s="21"/>
      <c r="B379" s="21"/>
      <c r="C379" s="21"/>
      <c r="D379" s="23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2.75" x14ac:dyDescent="0.2">
      <c r="A380" s="21"/>
      <c r="B380" s="21"/>
      <c r="C380" s="21"/>
      <c r="D380" s="23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2.75" x14ac:dyDescent="0.2">
      <c r="A381" s="21"/>
      <c r="B381" s="21"/>
      <c r="C381" s="21"/>
      <c r="D381" s="23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2.75" x14ac:dyDescent="0.2">
      <c r="A382" s="21"/>
      <c r="B382" s="21"/>
      <c r="C382" s="21"/>
      <c r="D382" s="23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2.75" x14ac:dyDescent="0.2">
      <c r="A383" s="21"/>
      <c r="B383" s="21"/>
      <c r="C383" s="21"/>
      <c r="D383" s="23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2.75" x14ac:dyDescent="0.2">
      <c r="A384" s="21"/>
      <c r="B384" s="21"/>
      <c r="C384" s="21"/>
      <c r="D384" s="23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2.75" x14ac:dyDescent="0.2">
      <c r="A385" s="21"/>
      <c r="B385" s="21"/>
      <c r="C385" s="21"/>
      <c r="D385" s="23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2.75" x14ac:dyDescent="0.2">
      <c r="A386" s="21"/>
      <c r="B386" s="21"/>
      <c r="C386" s="21"/>
      <c r="D386" s="23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2.75" x14ac:dyDescent="0.2">
      <c r="A387" s="21"/>
      <c r="B387" s="21"/>
      <c r="C387" s="21"/>
      <c r="D387" s="23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2.75" x14ac:dyDescent="0.2">
      <c r="A388" s="21"/>
      <c r="B388" s="21"/>
      <c r="C388" s="21"/>
      <c r="D388" s="23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2.75" x14ac:dyDescent="0.2">
      <c r="A389" s="21"/>
      <c r="B389" s="21"/>
      <c r="C389" s="21"/>
      <c r="D389" s="23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2.75" x14ac:dyDescent="0.2">
      <c r="A390" s="21"/>
      <c r="B390" s="21"/>
      <c r="C390" s="21"/>
      <c r="D390" s="23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2.75" x14ac:dyDescent="0.2">
      <c r="A391" s="21"/>
      <c r="B391" s="21"/>
      <c r="C391" s="21"/>
      <c r="D391" s="23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2.75" x14ac:dyDescent="0.2">
      <c r="A392" s="21"/>
      <c r="B392" s="21"/>
      <c r="C392" s="21"/>
      <c r="D392" s="23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2.75" x14ac:dyDescent="0.2">
      <c r="A393" s="21"/>
      <c r="B393" s="21"/>
      <c r="C393" s="21"/>
      <c r="D393" s="23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2.75" x14ac:dyDescent="0.2">
      <c r="A394" s="21"/>
      <c r="B394" s="21"/>
      <c r="C394" s="21"/>
      <c r="D394" s="23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2.75" x14ac:dyDescent="0.2">
      <c r="A395" s="21"/>
      <c r="B395" s="21"/>
      <c r="C395" s="21"/>
      <c r="D395" s="23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2.75" x14ac:dyDescent="0.2">
      <c r="A396" s="21"/>
      <c r="B396" s="21"/>
      <c r="C396" s="21"/>
      <c r="D396" s="23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2.75" x14ac:dyDescent="0.2">
      <c r="A397" s="21"/>
      <c r="B397" s="21"/>
      <c r="C397" s="21"/>
      <c r="D397" s="23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2.75" x14ac:dyDescent="0.2">
      <c r="A398" s="21"/>
      <c r="B398" s="21"/>
      <c r="C398" s="21"/>
      <c r="D398" s="23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2.75" x14ac:dyDescent="0.2">
      <c r="A399" s="21"/>
      <c r="B399" s="21"/>
      <c r="C399" s="21"/>
      <c r="D399" s="23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2.75" x14ac:dyDescent="0.2">
      <c r="A400" s="21"/>
      <c r="B400" s="21"/>
      <c r="C400" s="21"/>
      <c r="D400" s="23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2.75" x14ac:dyDescent="0.2">
      <c r="A401" s="21"/>
      <c r="B401" s="21"/>
      <c r="C401" s="21"/>
      <c r="D401" s="23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2.75" x14ac:dyDescent="0.2">
      <c r="A402" s="21"/>
      <c r="B402" s="21"/>
      <c r="C402" s="21"/>
      <c r="D402" s="23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2.75" x14ac:dyDescent="0.2">
      <c r="A403" s="21"/>
      <c r="B403" s="21"/>
      <c r="C403" s="21"/>
      <c r="D403" s="23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2.75" x14ac:dyDescent="0.2">
      <c r="A404" s="21"/>
      <c r="B404" s="21"/>
      <c r="C404" s="21"/>
      <c r="D404" s="23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2.75" x14ac:dyDescent="0.2">
      <c r="A405" s="21"/>
      <c r="B405" s="21"/>
      <c r="C405" s="21"/>
      <c r="D405" s="23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2.75" x14ac:dyDescent="0.2">
      <c r="A406" s="21"/>
      <c r="B406" s="21"/>
      <c r="C406" s="21"/>
      <c r="D406" s="23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2.75" x14ac:dyDescent="0.2">
      <c r="A407" s="21"/>
      <c r="B407" s="21"/>
      <c r="C407" s="21"/>
      <c r="D407" s="23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2.75" x14ac:dyDescent="0.2">
      <c r="A408" s="21"/>
      <c r="B408" s="21"/>
      <c r="C408" s="21"/>
      <c r="D408" s="23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2.75" x14ac:dyDescent="0.2">
      <c r="A409" s="21"/>
      <c r="B409" s="21"/>
      <c r="C409" s="21"/>
      <c r="D409" s="23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2.75" x14ac:dyDescent="0.2">
      <c r="A410" s="21"/>
      <c r="B410" s="21"/>
      <c r="C410" s="21"/>
      <c r="D410" s="23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2.75" x14ac:dyDescent="0.2">
      <c r="A411" s="21"/>
      <c r="B411" s="21"/>
      <c r="C411" s="21"/>
      <c r="D411" s="23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2.75" x14ac:dyDescent="0.2">
      <c r="A412" s="21"/>
      <c r="B412" s="21"/>
      <c r="C412" s="21"/>
      <c r="D412" s="23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2.75" x14ac:dyDescent="0.2">
      <c r="A413" s="21"/>
      <c r="B413" s="21"/>
      <c r="C413" s="21"/>
      <c r="D413" s="23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2.75" x14ac:dyDescent="0.2">
      <c r="A414" s="21"/>
      <c r="B414" s="21"/>
      <c r="C414" s="21"/>
      <c r="D414" s="23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2.75" x14ac:dyDescent="0.2">
      <c r="A415" s="21"/>
      <c r="B415" s="21"/>
      <c r="C415" s="21"/>
      <c r="D415" s="23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2.75" x14ac:dyDescent="0.2">
      <c r="A416" s="21"/>
      <c r="B416" s="21"/>
      <c r="C416" s="21"/>
      <c r="D416" s="23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2.75" x14ac:dyDescent="0.2">
      <c r="A417" s="21"/>
      <c r="B417" s="21"/>
      <c r="C417" s="21"/>
      <c r="D417" s="23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2.75" x14ac:dyDescent="0.2">
      <c r="A418" s="21"/>
      <c r="B418" s="21"/>
      <c r="C418" s="21"/>
      <c r="D418" s="23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2.75" x14ac:dyDescent="0.2">
      <c r="A419" s="21"/>
      <c r="B419" s="21"/>
      <c r="C419" s="21"/>
      <c r="D419" s="23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2.75" x14ac:dyDescent="0.2">
      <c r="A420" s="21"/>
      <c r="B420" s="21"/>
      <c r="C420" s="21"/>
      <c r="D420" s="23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2.75" x14ac:dyDescent="0.2">
      <c r="A421" s="21"/>
      <c r="B421" s="21"/>
      <c r="C421" s="21"/>
      <c r="D421" s="23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2.75" x14ac:dyDescent="0.2">
      <c r="A422" s="21"/>
      <c r="B422" s="21"/>
      <c r="C422" s="21"/>
      <c r="D422" s="23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2.75" x14ac:dyDescent="0.2">
      <c r="A423" s="21"/>
      <c r="B423" s="21"/>
      <c r="C423" s="21"/>
      <c r="D423" s="23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2.75" x14ac:dyDescent="0.2">
      <c r="A424" s="21"/>
      <c r="B424" s="21"/>
      <c r="C424" s="21"/>
      <c r="D424" s="23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2.75" x14ac:dyDescent="0.2">
      <c r="A425" s="21"/>
      <c r="B425" s="21"/>
      <c r="C425" s="21"/>
      <c r="D425" s="23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2.75" x14ac:dyDescent="0.2">
      <c r="A426" s="21"/>
      <c r="B426" s="21"/>
      <c r="C426" s="21"/>
      <c r="D426" s="23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2.75" x14ac:dyDescent="0.2">
      <c r="A427" s="21"/>
      <c r="B427" s="21"/>
      <c r="C427" s="21"/>
      <c r="D427" s="23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2.75" x14ac:dyDescent="0.2">
      <c r="A428" s="21"/>
      <c r="B428" s="21"/>
      <c r="C428" s="21"/>
      <c r="D428" s="23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2.75" x14ac:dyDescent="0.2">
      <c r="A429" s="21"/>
      <c r="B429" s="21"/>
      <c r="C429" s="21"/>
      <c r="D429" s="23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2.75" x14ac:dyDescent="0.2">
      <c r="A430" s="21"/>
      <c r="B430" s="21"/>
      <c r="C430" s="21"/>
      <c r="D430" s="23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2.75" x14ac:dyDescent="0.2">
      <c r="A431" s="21"/>
      <c r="B431" s="21"/>
      <c r="C431" s="21"/>
      <c r="D431" s="23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2.75" x14ac:dyDescent="0.2">
      <c r="A432" s="21"/>
      <c r="B432" s="21"/>
      <c r="C432" s="21"/>
      <c r="D432" s="23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2.75" x14ac:dyDescent="0.2">
      <c r="A433" s="21"/>
      <c r="B433" s="21"/>
      <c r="C433" s="21"/>
      <c r="D433" s="23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2.75" x14ac:dyDescent="0.2">
      <c r="A434" s="21"/>
      <c r="B434" s="21"/>
      <c r="C434" s="21"/>
      <c r="D434" s="23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2.75" x14ac:dyDescent="0.2">
      <c r="A435" s="21"/>
      <c r="B435" s="21"/>
      <c r="C435" s="21"/>
      <c r="D435" s="23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2.75" x14ac:dyDescent="0.2">
      <c r="A436" s="21"/>
      <c r="B436" s="21"/>
      <c r="C436" s="21"/>
      <c r="D436" s="23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2.75" x14ac:dyDescent="0.2">
      <c r="A437" s="21"/>
      <c r="B437" s="21"/>
      <c r="C437" s="21"/>
      <c r="D437" s="23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2.75" x14ac:dyDescent="0.2">
      <c r="A438" s="21"/>
      <c r="B438" s="21"/>
      <c r="C438" s="21"/>
      <c r="D438" s="23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2.75" x14ac:dyDescent="0.2">
      <c r="A439" s="21"/>
      <c r="B439" s="21"/>
      <c r="C439" s="21"/>
      <c r="D439" s="23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2.75" x14ac:dyDescent="0.2">
      <c r="A440" s="21"/>
      <c r="B440" s="21"/>
      <c r="C440" s="21"/>
      <c r="D440" s="23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2.75" x14ac:dyDescent="0.2">
      <c r="A441" s="21"/>
      <c r="B441" s="21"/>
      <c r="C441" s="21"/>
      <c r="D441" s="23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2.75" x14ac:dyDescent="0.2">
      <c r="A442" s="21"/>
      <c r="B442" s="21"/>
      <c r="C442" s="21"/>
      <c r="D442" s="23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2.75" x14ac:dyDescent="0.2">
      <c r="A443" s="21"/>
      <c r="B443" s="21"/>
      <c r="C443" s="21"/>
      <c r="D443" s="23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2.75" x14ac:dyDescent="0.2">
      <c r="A444" s="21"/>
      <c r="B444" s="21"/>
      <c r="C444" s="21"/>
      <c r="D444" s="23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2.75" x14ac:dyDescent="0.2">
      <c r="A445" s="21"/>
      <c r="B445" s="21"/>
      <c r="C445" s="21"/>
      <c r="D445" s="23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2.75" x14ac:dyDescent="0.2">
      <c r="A446" s="21"/>
      <c r="B446" s="21"/>
      <c r="C446" s="21"/>
      <c r="D446" s="23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2.75" x14ac:dyDescent="0.2">
      <c r="A447" s="21"/>
      <c r="B447" s="21"/>
      <c r="C447" s="21"/>
      <c r="D447" s="23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2.75" x14ac:dyDescent="0.2">
      <c r="A448" s="21"/>
      <c r="B448" s="21"/>
      <c r="C448" s="21"/>
      <c r="D448" s="23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2.75" x14ac:dyDescent="0.2">
      <c r="A449" s="21"/>
      <c r="B449" s="21"/>
      <c r="C449" s="21"/>
      <c r="D449" s="23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2.75" x14ac:dyDescent="0.2">
      <c r="A450" s="21"/>
      <c r="B450" s="21"/>
      <c r="C450" s="21"/>
      <c r="D450" s="23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2.75" x14ac:dyDescent="0.2">
      <c r="A451" s="21"/>
      <c r="B451" s="21"/>
      <c r="C451" s="21"/>
      <c r="D451" s="23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2.75" x14ac:dyDescent="0.2">
      <c r="A452" s="21"/>
      <c r="B452" s="21"/>
      <c r="C452" s="21"/>
      <c r="D452" s="23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2.75" x14ac:dyDescent="0.2">
      <c r="A453" s="21"/>
      <c r="B453" s="21"/>
      <c r="C453" s="21"/>
      <c r="D453" s="23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2.75" x14ac:dyDescent="0.2">
      <c r="A454" s="21"/>
      <c r="B454" s="21"/>
      <c r="C454" s="21"/>
      <c r="D454" s="23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2.75" x14ac:dyDescent="0.2">
      <c r="A455" s="21"/>
      <c r="B455" s="21"/>
      <c r="C455" s="21"/>
      <c r="D455" s="23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2.75" x14ac:dyDescent="0.2">
      <c r="A456" s="21"/>
      <c r="B456" s="21"/>
      <c r="C456" s="21"/>
      <c r="D456" s="23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2.75" x14ac:dyDescent="0.2">
      <c r="A457" s="21"/>
      <c r="B457" s="21"/>
      <c r="C457" s="21"/>
      <c r="D457" s="23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2.75" x14ac:dyDescent="0.2">
      <c r="A458" s="21"/>
      <c r="B458" s="21"/>
      <c r="C458" s="21"/>
      <c r="D458" s="23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2.75" x14ac:dyDescent="0.2">
      <c r="A459" s="21"/>
      <c r="B459" s="21"/>
      <c r="C459" s="21"/>
      <c r="D459" s="23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2.75" x14ac:dyDescent="0.2">
      <c r="A460" s="21"/>
      <c r="B460" s="21"/>
      <c r="C460" s="21"/>
      <c r="D460" s="23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2.75" x14ac:dyDescent="0.2">
      <c r="A461" s="21"/>
      <c r="B461" s="21"/>
      <c r="C461" s="21"/>
      <c r="D461" s="23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2.75" x14ac:dyDescent="0.2">
      <c r="A462" s="21"/>
      <c r="B462" s="21"/>
      <c r="C462" s="21"/>
      <c r="D462" s="23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2.75" x14ac:dyDescent="0.2">
      <c r="A463" s="21"/>
      <c r="B463" s="21"/>
      <c r="C463" s="21"/>
      <c r="D463" s="23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2.75" x14ac:dyDescent="0.2">
      <c r="A464" s="21"/>
      <c r="B464" s="21"/>
      <c r="C464" s="21"/>
      <c r="D464" s="23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2.75" x14ac:dyDescent="0.2">
      <c r="A465" s="21"/>
      <c r="B465" s="21"/>
      <c r="C465" s="21"/>
      <c r="D465" s="23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2.75" x14ac:dyDescent="0.2">
      <c r="A466" s="21"/>
      <c r="B466" s="21"/>
      <c r="C466" s="21"/>
      <c r="D466" s="23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2.75" x14ac:dyDescent="0.2">
      <c r="A467" s="21"/>
      <c r="B467" s="21"/>
      <c r="C467" s="21"/>
      <c r="D467" s="23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2.75" x14ac:dyDescent="0.2">
      <c r="A468" s="21"/>
      <c r="B468" s="21"/>
      <c r="C468" s="21"/>
      <c r="D468" s="23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2.75" x14ac:dyDescent="0.2">
      <c r="A469" s="21"/>
      <c r="B469" s="21"/>
      <c r="C469" s="21"/>
      <c r="D469" s="23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2.75" x14ac:dyDescent="0.2">
      <c r="A470" s="21"/>
      <c r="B470" s="21"/>
      <c r="C470" s="21"/>
      <c r="D470" s="23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2.75" x14ac:dyDescent="0.2">
      <c r="A471" s="21"/>
      <c r="B471" s="21"/>
      <c r="C471" s="21"/>
      <c r="D471" s="23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2.75" x14ac:dyDescent="0.2">
      <c r="A472" s="21"/>
      <c r="B472" s="21"/>
      <c r="C472" s="21"/>
      <c r="D472" s="23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2.75" x14ac:dyDescent="0.2">
      <c r="A473" s="21"/>
      <c r="B473" s="21"/>
      <c r="C473" s="21"/>
      <c r="D473" s="23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2.75" x14ac:dyDescent="0.2">
      <c r="A474" s="21"/>
      <c r="B474" s="21"/>
      <c r="C474" s="21"/>
      <c r="D474" s="23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2.75" x14ac:dyDescent="0.2">
      <c r="A475" s="21"/>
      <c r="B475" s="21"/>
      <c r="C475" s="21"/>
      <c r="D475" s="23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2.75" x14ac:dyDescent="0.2">
      <c r="A476" s="21"/>
      <c r="B476" s="21"/>
      <c r="C476" s="21"/>
      <c r="D476" s="23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2.75" x14ac:dyDescent="0.2">
      <c r="A477" s="21"/>
      <c r="B477" s="21"/>
      <c r="C477" s="21"/>
      <c r="D477" s="23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2.75" x14ac:dyDescent="0.2">
      <c r="A478" s="21"/>
      <c r="B478" s="21"/>
      <c r="C478" s="21"/>
      <c r="D478" s="23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2.75" x14ac:dyDescent="0.2">
      <c r="A479" s="21"/>
      <c r="B479" s="21"/>
      <c r="C479" s="21"/>
      <c r="D479" s="23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2.75" x14ac:dyDescent="0.2">
      <c r="A480" s="21"/>
      <c r="B480" s="21"/>
      <c r="C480" s="21"/>
      <c r="D480" s="23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2.75" x14ac:dyDescent="0.2">
      <c r="A481" s="21"/>
      <c r="B481" s="21"/>
      <c r="C481" s="21"/>
      <c r="D481" s="23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2.75" x14ac:dyDescent="0.2">
      <c r="A482" s="21"/>
      <c r="B482" s="21"/>
      <c r="C482" s="21"/>
      <c r="D482" s="23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2.75" x14ac:dyDescent="0.2">
      <c r="A483" s="21"/>
      <c r="B483" s="21"/>
      <c r="C483" s="21"/>
      <c r="D483" s="23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2.75" x14ac:dyDescent="0.2">
      <c r="A484" s="21"/>
      <c r="B484" s="21"/>
      <c r="C484" s="21"/>
      <c r="D484" s="23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2.75" x14ac:dyDescent="0.2">
      <c r="A485" s="21"/>
      <c r="B485" s="21"/>
      <c r="C485" s="21"/>
      <c r="D485" s="23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2.75" x14ac:dyDescent="0.2">
      <c r="A486" s="21"/>
      <c r="B486" s="21"/>
      <c r="C486" s="21"/>
      <c r="D486" s="23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2.75" x14ac:dyDescent="0.2">
      <c r="A487" s="21"/>
      <c r="B487" s="21"/>
      <c r="C487" s="21"/>
      <c r="D487" s="23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2.75" x14ac:dyDescent="0.2">
      <c r="A488" s="21"/>
      <c r="B488" s="21"/>
      <c r="C488" s="21"/>
      <c r="D488" s="23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2.75" x14ac:dyDescent="0.2">
      <c r="A489" s="21"/>
      <c r="B489" s="21"/>
      <c r="C489" s="21"/>
      <c r="D489" s="23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2.75" x14ac:dyDescent="0.2">
      <c r="A490" s="21"/>
      <c r="B490" s="21"/>
      <c r="C490" s="21"/>
      <c r="D490" s="23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2.75" x14ac:dyDescent="0.2">
      <c r="A491" s="21"/>
      <c r="B491" s="21"/>
      <c r="C491" s="21"/>
      <c r="D491" s="23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2.75" x14ac:dyDescent="0.2">
      <c r="A492" s="21"/>
      <c r="B492" s="21"/>
      <c r="C492" s="21"/>
      <c r="D492" s="23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2.75" x14ac:dyDescent="0.2">
      <c r="A493" s="21"/>
      <c r="B493" s="21"/>
      <c r="C493" s="21"/>
      <c r="D493" s="23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2.75" x14ac:dyDescent="0.2">
      <c r="A494" s="21"/>
      <c r="B494" s="21"/>
      <c r="C494" s="21"/>
      <c r="D494" s="23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2.75" x14ac:dyDescent="0.2">
      <c r="A495" s="21"/>
      <c r="B495" s="21"/>
      <c r="C495" s="21"/>
      <c r="D495" s="23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2.75" x14ac:dyDescent="0.2">
      <c r="A496" s="21"/>
      <c r="B496" s="21"/>
      <c r="C496" s="21"/>
      <c r="D496" s="23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2.75" x14ac:dyDescent="0.2">
      <c r="A497" s="21"/>
      <c r="B497" s="21"/>
      <c r="C497" s="21"/>
      <c r="D497" s="23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2.75" x14ac:dyDescent="0.2">
      <c r="A498" s="21"/>
      <c r="B498" s="21"/>
      <c r="C498" s="21"/>
      <c r="D498" s="23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2.75" x14ac:dyDescent="0.2">
      <c r="A499" s="21"/>
      <c r="B499" s="21"/>
      <c r="C499" s="21"/>
      <c r="D499" s="23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2.75" x14ac:dyDescent="0.2">
      <c r="A500" s="21"/>
      <c r="B500" s="21"/>
      <c r="C500" s="21"/>
      <c r="D500" s="23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2.75" x14ac:dyDescent="0.2">
      <c r="A501" s="21"/>
      <c r="B501" s="21"/>
      <c r="C501" s="21"/>
      <c r="D501" s="23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2.75" x14ac:dyDescent="0.2">
      <c r="A502" s="21"/>
      <c r="B502" s="21"/>
      <c r="C502" s="21"/>
      <c r="D502" s="23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2.75" x14ac:dyDescent="0.2">
      <c r="A503" s="21"/>
      <c r="B503" s="21"/>
      <c r="C503" s="21"/>
      <c r="D503" s="23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2.75" x14ac:dyDescent="0.2">
      <c r="A504" s="21"/>
      <c r="B504" s="21"/>
      <c r="C504" s="21"/>
      <c r="D504" s="23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2.75" x14ac:dyDescent="0.2">
      <c r="A505" s="21"/>
      <c r="B505" s="21"/>
      <c r="C505" s="21"/>
      <c r="D505" s="23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2.75" x14ac:dyDescent="0.2">
      <c r="A506" s="21"/>
      <c r="B506" s="21"/>
      <c r="C506" s="21"/>
      <c r="D506" s="23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2.75" x14ac:dyDescent="0.2">
      <c r="A507" s="21"/>
      <c r="B507" s="21"/>
      <c r="C507" s="21"/>
      <c r="D507" s="23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2.75" x14ac:dyDescent="0.2">
      <c r="A508" s="21"/>
      <c r="B508" s="21"/>
      <c r="C508" s="21"/>
      <c r="D508" s="23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2.75" x14ac:dyDescent="0.2">
      <c r="A509" s="21"/>
      <c r="B509" s="21"/>
      <c r="C509" s="21"/>
      <c r="D509" s="23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2.75" x14ac:dyDescent="0.2">
      <c r="A510" s="21"/>
      <c r="B510" s="21"/>
      <c r="C510" s="21"/>
      <c r="D510" s="23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2.75" x14ac:dyDescent="0.2">
      <c r="A511" s="21"/>
      <c r="B511" s="21"/>
      <c r="C511" s="21"/>
      <c r="D511" s="23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2.75" x14ac:dyDescent="0.2">
      <c r="A512" s="21"/>
      <c r="B512" s="21"/>
      <c r="C512" s="21"/>
      <c r="D512" s="23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2.75" x14ac:dyDescent="0.2">
      <c r="A513" s="21"/>
      <c r="B513" s="21"/>
      <c r="C513" s="21"/>
      <c r="D513" s="23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2.75" x14ac:dyDescent="0.2">
      <c r="A514" s="21"/>
      <c r="B514" s="21"/>
      <c r="C514" s="21"/>
      <c r="D514" s="23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2.75" x14ac:dyDescent="0.2">
      <c r="A515" s="21"/>
      <c r="B515" s="21"/>
      <c r="C515" s="21"/>
      <c r="D515" s="23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2.75" x14ac:dyDescent="0.2">
      <c r="A516" s="21"/>
      <c r="B516" s="21"/>
      <c r="C516" s="21"/>
      <c r="D516" s="23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2.75" x14ac:dyDescent="0.2">
      <c r="A517" s="21"/>
      <c r="B517" s="21"/>
      <c r="C517" s="21"/>
      <c r="D517" s="23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2.75" x14ac:dyDescent="0.2">
      <c r="A518" s="21"/>
      <c r="B518" s="21"/>
      <c r="C518" s="21"/>
      <c r="D518" s="23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2.75" x14ac:dyDescent="0.2">
      <c r="A519" s="21"/>
      <c r="B519" s="21"/>
      <c r="C519" s="21"/>
      <c r="D519" s="23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2.75" x14ac:dyDescent="0.2">
      <c r="A520" s="21"/>
      <c r="B520" s="21"/>
      <c r="C520" s="21"/>
      <c r="D520" s="23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2.75" x14ac:dyDescent="0.2">
      <c r="A521" s="21"/>
      <c r="B521" s="21"/>
      <c r="C521" s="21"/>
      <c r="D521" s="23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2.75" x14ac:dyDescent="0.2">
      <c r="A522" s="21"/>
      <c r="B522" s="21"/>
      <c r="C522" s="21"/>
      <c r="D522" s="23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2.75" x14ac:dyDescent="0.2">
      <c r="A523" s="21"/>
      <c r="B523" s="21"/>
      <c r="C523" s="21"/>
      <c r="D523" s="23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2.75" x14ac:dyDescent="0.2">
      <c r="A524" s="21"/>
      <c r="B524" s="21"/>
      <c r="C524" s="21"/>
      <c r="D524" s="23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2.75" x14ac:dyDescent="0.2">
      <c r="A525" s="21"/>
      <c r="B525" s="21"/>
      <c r="C525" s="21"/>
      <c r="D525" s="23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2.75" x14ac:dyDescent="0.2">
      <c r="A526" s="21"/>
      <c r="B526" s="21"/>
      <c r="C526" s="21"/>
      <c r="D526" s="23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2.75" x14ac:dyDescent="0.2">
      <c r="A527" s="21"/>
      <c r="B527" s="21"/>
      <c r="C527" s="21"/>
      <c r="D527" s="23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2.75" x14ac:dyDescent="0.2">
      <c r="A528" s="21"/>
      <c r="B528" s="21"/>
      <c r="C528" s="21"/>
      <c r="D528" s="23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2.75" x14ac:dyDescent="0.2">
      <c r="A529" s="21"/>
      <c r="B529" s="21"/>
      <c r="C529" s="21"/>
      <c r="D529" s="23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2.75" x14ac:dyDescent="0.2">
      <c r="A530" s="21"/>
      <c r="B530" s="21"/>
      <c r="C530" s="21"/>
      <c r="D530" s="23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2.75" x14ac:dyDescent="0.2">
      <c r="A531" s="21"/>
      <c r="B531" s="21"/>
      <c r="C531" s="21"/>
      <c r="D531" s="23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2.75" x14ac:dyDescent="0.2">
      <c r="A532" s="21"/>
      <c r="B532" s="21"/>
      <c r="C532" s="21"/>
      <c r="D532" s="23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2.75" x14ac:dyDescent="0.2">
      <c r="A533" s="21"/>
      <c r="B533" s="21"/>
      <c r="C533" s="21"/>
      <c r="D533" s="23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2.75" x14ac:dyDescent="0.2">
      <c r="A534" s="21"/>
      <c r="B534" s="21"/>
      <c r="C534" s="21"/>
      <c r="D534" s="23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2.75" x14ac:dyDescent="0.2">
      <c r="A535" s="21"/>
      <c r="B535" s="21"/>
      <c r="C535" s="21"/>
      <c r="D535" s="23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2.75" x14ac:dyDescent="0.2">
      <c r="A536" s="21"/>
      <c r="B536" s="21"/>
      <c r="C536" s="21"/>
      <c r="D536" s="23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2.75" x14ac:dyDescent="0.2">
      <c r="A537" s="21"/>
      <c r="B537" s="21"/>
      <c r="C537" s="21"/>
      <c r="D537" s="23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2.75" x14ac:dyDescent="0.2">
      <c r="A538" s="21"/>
      <c r="B538" s="21"/>
      <c r="C538" s="21"/>
      <c r="D538" s="23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2.75" x14ac:dyDescent="0.2">
      <c r="A539" s="21"/>
      <c r="B539" s="21"/>
      <c r="C539" s="21"/>
      <c r="D539" s="23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2.75" x14ac:dyDescent="0.2">
      <c r="A540" s="21"/>
      <c r="B540" s="21"/>
      <c r="C540" s="21"/>
      <c r="D540" s="23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2.75" x14ac:dyDescent="0.2">
      <c r="A541" s="21"/>
      <c r="B541" s="21"/>
      <c r="C541" s="21"/>
      <c r="D541" s="23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2.75" x14ac:dyDescent="0.2">
      <c r="A542" s="21"/>
      <c r="B542" s="21"/>
      <c r="C542" s="21"/>
      <c r="D542" s="23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2.75" x14ac:dyDescent="0.2">
      <c r="A543" s="21"/>
      <c r="B543" s="21"/>
      <c r="C543" s="21"/>
      <c r="D543" s="23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2.75" x14ac:dyDescent="0.2">
      <c r="A544" s="21"/>
      <c r="B544" s="21"/>
      <c r="C544" s="21"/>
      <c r="D544" s="23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2.75" x14ac:dyDescent="0.2">
      <c r="A545" s="21"/>
      <c r="B545" s="21"/>
      <c r="C545" s="21"/>
      <c r="D545" s="23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2.75" x14ac:dyDescent="0.2">
      <c r="A546" s="21"/>
      <c r="B546" s="21"/>
      <c r="C546" s="21"/>
      <c r="D546" s="23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2.75" x14ac:dyDescent="0.2">
      <c r="A547" s="21"/>
      <c r="B547" s="21"/>
      <c r="C547" s="21"/>
      <c r="D547" s="23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2.75" x14ac:dyDescent="0.2">
      <c r="A548" s="21"/>
      <c r="B548" s="21"/>
      <c r="C548" s="21"/>
      <c r="D548" s="23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2.75" x14ac:dyDescent="0.2">
      <c r="A549" s="21"/>
      <c r="B549" s="21"/>
      <c r="C549" s="21"/>
      <c r="D549" s="23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2.75" x14ac:dyDescent="0.2">
      <c r="A550" s="21"/>
      <c r="B550" s="21"/>
      <c r="C550" s="21"/>
      <c r="D550" s="23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2.75" x14ac:dyDescent="0.2">
      <c r="A551" s="21"/>
      <c r="B551" s="21"/>
      <c r="C551" s="21"/>
      <c r="D551" s="23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2.75" x14ac:dyDescent="0.2">
      <c r="A552" s="21"/>
      <c r="B552" s="21"/>
      <c r="C552" s="21"/>
      <c r="D552" s="23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2.75" x14ac:dyDescent="0.2">
      <c r="A553" s="21"/>
      <c r="B553" s="21"/>
      <c r="C553" s="21"/>
      <c r="D553" s="23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2.75" x14ac:dyDescent="0.2">
      <c r="A554" s="21"/>
      <c r="B554" s="21"/>
      <c r="C554" s="21"/>
      <c r="D554" s="23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2.75" x14ac:dyDescent="0.2">
      <c r="A555" s="21"/>
      <c r="B555" s="21"/>
      <c r="C555" s="21"/>
      <c r="D555" s="23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2.75" x14ac:dyDescent="0.2">
      <c r="A556" s="21"/>
      <c r="B556" s="21"/>
      <c r="C556" s="21"/>
      <c r="D556" s="23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2.75" x14ac:dyDescent="0.2">
      <c r="A557" s="21"/>
      <c r="B557" s="21"/>
      <c r="C557" s="21"/>
      <c r="D557" s="23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2.75" x14ac:dyDescent="0.2">
      <c r="A558" s="21"/>
      <c r="B558" s="21"/>
      <c r="C558" s="21"/>
      <c r="D558" s="23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2.75" x14ac:dyDescent="0.2">
      <c r="A559" s="21"/>
      <c r="B559" s="21"/>
      <c r="C559" s="21"/>
      <c r="D559" s="23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2.75" x14ac:dyDescent="0.2">
      <c r="A560" s="21"/>
      <c r="B560" s="21"/>
      <c r="C560" s="21"/>
      <c r="D560" s="23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2.75" x14ac:dyDescent="0.2">
      <c r="A561" s="21"/>
      <c r="B561" s="21"/>
      <c r="C561" s="21"/>
      <c r="D561" s="23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2.75" x14ac:dyDescent="0.2">
      <c r="A562" s="21"/>
      <c r="B562" s="21"/>
      <c r="C562" s="21"/>
      <c r="D562" s="23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2.75" x14ac:dyDescent="0.2">
      <c r="A563" s="21"/>
      <c r="B563" s="21"/>
      <c r="C563" s="21"/>
      <c r="D563" s="23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2.75" x14ac:dyDescent="0.2">
      <c r="A564" s="21"/>
      <c r="B564" s="21"/>
      <c r="C564" s="21"/>
      <c r="D564" s="23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2.75" x14ac:dyDescent="0.2">
      <c r="A565" s="21"/>
      <c r="B565" s="21"/>
      <c r="C565" s="21"/>
      <c r="D565" s="23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2.75" x14ac:dyDescent="0.2">
      <c r="A566" s="21"/>
      <c r="B566" s="21"/>
      <c r="C566" s="21"/>
      <c r="D566" s="23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2.75" x14ac:dyDescent="0.2">
      <c r="A567" s="21"/>
      <c r="B567" s="21"/>
      <c r="C567" s="21"/>
      <c r="D567" s="23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2.75" x14ac:dyDescent="0.2">
      <c r="A568" s="21"/>
      <c r="B568" s="21"/>
      <c r="C568" s="21"/>
      <c r="D568" s="23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2.75" x14ac:dyDescent="0.2">
      <c r="A569" s="21"/>
      <c r="B569" s="21"/>
      <c r="C569" s="21"/>
      <c r="D569" s="23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2.75" x14ac:dyDescent="0.2">
      <c r="A570" s="21"/>
      <c r="B570" s="21"/>
      <c r="C570" s="21"/>
      <c r="D570" s="23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2.75" x14ac:dyDescent="0.2">
      <c r="A571" s="21"/>
      <c r="B571" s="21"/>
      <c r="C571" s="21"/>
      <c r="D571" s="23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2.75" x14ac:dyDescent="0.2">
      <c r="A572" s="21"/>
      <c r="B572" s="21"/>
      <c r="C572" s="21"/>
      <c r="D572" s="23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2.75" x14ac:dyDescent="0.2">
      <c r="A573" s="21"/>
      <c r="B573" s="21"/>
      <c r="C573" s="21"/>
      <c r="D573" s="23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2.75" x14ac:dyDescent="0.2">
      <c r="A574" s="21"/>
      <c r="B574" s="21"/>
      <c r="C574" s="21"/>
      <c r="D574" s="23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2.75" x14ac:dyDescent="0.2">
      <c r="A575" s="21"/>
      <c r="B575" s="21"/>
      <c r="C575" s="21"/>
      <c r="D575" s="23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2.75" x14ac:dyDescent="0.2">
      <c r="A576" s="21"/>
      <c r="B576" s="21"/>
      <c r="C576" s="21"/>
      <c r="D576" s="23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2.75" x14ac:dyDescent="0.2">
      <c r="A577" s="21"/>
      <c r="B577" s="21"/>
      <c r="C577" s="21"/>
      <c r="D577" s="23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2.75" x14ac:dyDescent="0.2">
      <c r="A578" s="21"/>
      <c r="B578" s="21"/>
      <c r="C578" s="21"/>
      <c r="D578" s="23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2.75" x14ac:dyDescent="0.2">
      <c r="A579" s="21"/>
      <c r="B579" s="21"/>
      <c r="C579" s="21"/>
      <c r="D579" s="23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2.75" x14ac:dyDescent="0.2">
      <c r="A580" s="21"/>
      <c r="B580" s="21"/>
      <c r="C580" s="21"/>
      <c r="D580" s="23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2.75" x14ac:dyDescent="0.2">
      <c r="A581" s="21"/>
      <c r="B581" s="21"/>
      <c r="C581" s="21"/>
      <c r="D581" s="23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2.75" x14ac:dyDescent="0.2">
      <c r="A582" s="21"/>
      <c r="B582" s="21"/>
      <c r="C582" s="21"/>
      <c r="D582" s="23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2.75" x14ac:dyDescent="0.2">
      <c r="A583" s="21"/>
      <c r="B583" s="21"/>
      <c r="C583" s="21"/>
      <c r="D583" s="23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2.75" x14ac:dyDescent="0.2">
      <c r="A584" s="21"/>
      <c r="B584" s="21"/>
      <c r="C584" s="21"/>
      <c r="D584" s="23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2.75" x14ac:dyDescent="0.2">
      <c r="A585" s="21"/>
      <c r="B585" s="21"/>
      <c r="C585" s="21"/>
      <c r="D585" s="23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2.75" x14ac:dyDescent="0.2">
      <c r="A586" s="21"/>
      <c r="B586" s="21"/>
      <c r="C586" s="21"/>
      <c r="D586" s="23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2.75" x14ac:dyDescent="0.2">
      <c r="A587" s="21"/>
      <c r="B587" s="21"/>
      <c r="C587" s="21"/>
      <c r="D587" s="23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2.75" x14ac:dyDescent="0.2">
      <c r="A588" s="21"/>
      <c r="B588" s="21"/>
      <c r="C588" s="21"/>
      <c r="D588" s="23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2.75" x14ac:dyDescent="0.2">
      <c r="A589" s="21"/>
      <c r="B589" s="21"/>
      <c r="C589" s="21"/>
      <c r="D589" s="23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2.75" x14ac:dyDescent="0.2">
      <c r="A590" s="21"/>
      <c r="B590" s="21"/>
      <c r="C590" s="21"/>
      <c r="D590" s="23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2.75" x14ac:dyDescent="0.2">
      <c r="A591" s="21"/>
      <c r="B591" s="21"/>
      <c r="C591" s="21"/>
      <c r="D591" s="23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2.75" x14ac:dyDescent="0.2">
      <c r="A592" s="21"/>
      <c r="B592" s="21"/>
      <c r="C592" s="21"/>
      <c r="D592" s="23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2.75" x14ac:dyDescent="0.2">
      <c r="A593" s="21"/>
      <c r="B593" s="21"/>
      <c r="C593" s="21"/>
      <c r="D593" s="23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2.75" x14ac:dyDescent="0.2">
      <c r="A594" s="21"/>
      <c r="B594" s="21"/>
      <c r="C594" s="21"/>
      <c r="D594" s="23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2.75" x14ac:dyDescent="0.2">
      <c r="A595" s="21"/>
      <c r="B595" s="21"/>
      <c r="C595" s="21"/>
      <c r="D595" s="23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2.75" x14ac:dyDescent="0.2">
      <c r="A596" s="21"/>
      <c r="B596" s="21"/>
      <c r="C596" s="21"/>
      <c r="D596" s="23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2.75" x14ac:dyDescent="0.2">
      <c r="A597" s="21"/>
      <c r="B597" s="21"/>
      <c r="C597" s="21"/>
      <c r="D597" s="23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2.75" x14ac:dyDescent="0.2">
      <c r="A598" s="21"/>
      <c r="B598" s="21"/>
      <c r="C598" s="21"/>
      <c r="D598" s="23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2.75" x14ac:dyDescent="0.2">
      <c r="A599" s="21"/>
      <c r="B599" s="21"/>
      <c r="C599" s="21"/>
      <c r="D599" s="23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2.75" x14ac:dyDescent="0.2">
      <c r="A600" s="21"/>
      <c r="B600" s="21"/>
      <c r="C600" s="21"/>
      <c r="D600" s="23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2.75" x14ac:dyDescent="0.2">
      <c r="A601" s="21"/>
      <c r="B601" s="21"/>
      <c r="C601" s="21"/>
      <c r="D601" s="23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2.75" x14ac:dyDescent="0.2">
      <c r="A602" s="21"/>
      <c r="B602" s="21"/>
      <c r="C602" s="21"/>
      <c r="D602" s="23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2.75" x14ac:dyDescent="0.2">
      <c r="A603" s="21"/>
      <c r="B603" s="21"/>
      <c r="C603" s="21"/>
      <c r="D603" s="23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2.75" x14ac:dyDescent="0.2">
      <c r="A604" s="21"/>
      <c r="B604" s="21"/>
      <c r="C604" s="21"/>
      <c r="D604" s="23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2.75" x14ac:dyDescent="0.2">
      <c r="A605" s="21"/>
      <c r="B605" s="21"/>
      <c r="C605" s="21"/>
      <c r="D605" s="23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2.75" x14ac:dyDescent="0.2">
      <c r="A606" s="21"/>
      <c r="B606" s="21"/>
      <c r="C606" s="21"/>
      <c r="D606" s="23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2.75" x14ac:dyDescent="0.2">
      <c r="A607" s="21"/>
      <c r="B607" s="21"/>
      <c r="C607" s="21"/>
      <c r="D607" s="23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2.75" x14ac:dyDescent="0.2">
      <c r="A608" s="21"/>
      <c r="B608" s="21"/>
      <c r="C608" s="21"/>
      <c r="D608" s="23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2.75" x14ac:dyDescent="0.2">
      <c r="A609" s="21"/>
      <c r="B609" s="21"/>
      <c r="C609" s="21"/>
      <c r="D609" s="23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2.75" x14ac:dyDescent="0.2">
      <c r="A610" s="21"/>
      <c r="B610" s="21"/>
      <c r="C610" s="21"/>
      <c r="D610" s="23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2.75" x14ac:dyDescent="0.2">
      <c r="A611" s="21"/>
      <c r="B611" s="21"/>
      <c r="C611" s="21"/>
      <c r="D611" s="23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2.75" x14ac:dyDescent="0.2">
      <c r="A612" s="21"/>
      <c r="B612" s="21"/>
      <c r="C612" s="21"/>
      <c r="D612" s="23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2.75" x14ac:dyDescent="0.2">
      <c r="A613" s="21"/>
      <c r="B613" s="21"/>
      <c r="C613" s="21"/>
      <c r="D613" s="23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2.75" x14ac:dyDescent="0.2">
      <c r="A614" s="21"/>
      <c r="B614" s="21"/>
      <c r="C614" s="21"/>
      <c r="D614" s="23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2.75" x14ac:dyDescent="0.2">
      <c r="A615" s="21"/>
      <c r="B615" s="21"/>
      <c r="C615" s="21"/>
      <c r="D615" s="23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2.75" x14ac:dyDescent="0.2">
      <c r="A616" s="21"/>
      <c r="B616" s="21"/>
      <c r="C616" s="21"/>
      <c r="D616" s="23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2.75" x14ac:dyDescent="0.2">
      <c r="A617" s="21"/>
      <c r="B617" s="21"/>
      <c r="C617" s="21"/>
      <c r="D617" s="23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2.75" x14ac:dyDescent="0.2">
      <c r="A618" s="21"/>
      <c r="B618" s="21"/>
      <c r="C618" s="21"/>
      <c r="D618" s="23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2.75" x14ac:dyDescent="0.2">
      <c r="A619" s="21"/>
      <c r="B619" s="21"/>
      <c r="C619" s="21"/>
      <c r="D619" s="23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2.75" x14ac:dyDescent="0.2">
      <c r="A620" s="21"/>
      <c r="B620" s="21"/>
      <c r="C620" s="21"/>
      <c r="D620" s="23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2.75" x14ac:dyDescent="0.2">
      <c r="A621" s="21"/>
      <c r="B621" s="21"/>
      <c r="C621" s="21"/>
      <c r="D621" s="23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2.75" x14ac:dyDescent="0.2">
      <c r="A622" s="21"/>
      <c r="B622" s="21"/>
      <c r="C622" s="21"/>
      <c r="D622" s="23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2.75" x14ac:dyDescent="0.2">
      <c r="A623" s="21"/>
      <c r="B623" s="21"/>
      <c r="C623" s="21"/>
      <c r="D623" s="23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2.75" x14ac:dyDescent="0.2">
      <c r="A624" s="21"/>
      <c r="B624" s="21"/>
      <c r="C624" s="21"/>
      <c r="D624" s="23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2.75" x14ac:dyDescent="0.2">
      <c r="A625" s="21"/>
      <c r="B625" s="21"/>
      <c r="C625" s="21"/>
      <c r="D625" s="23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2.75" x14ac:dyDescent="0.2">
      <c r="A626" s="21"/>
      <c r="B626" s="21"/>
      <c r="C626" s="21"/>
      <c r="D626" s="23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2.75" x14ac:dyDescent="0.2">
      <c r="A627" s="21"/>
      <c r="B627" s="21"/>
      <c r="C627" s="21"/>
      <c r="D627" s="23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2.75" x14ac:dyDescent="0.2">
      <c r="A628" s="21"/>
      <c r="B628" s="21"/>
      <c r="C628" s="21"/>
      <c r="D628" s="23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2.75" x14ac:dyDescent="0.2">
      <c r="A629" s="21"/>
      <c r="B629" s="21"/>
      <c r="C629" s="21"/>
      <c r="D629" s="23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2.75" x14ac:dyDescent="0.2">
      <c r="A630" s="21"/>
      <c r="B630" s="21"/>
      <c r="C630" s="21"/>
      <c r="D630" s="23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2.75" x14ac:dyDescent="0.2">
      <c r="A631" s="21"/>
      <c r="B631" s="21"/>
      <c r="C631" s="21"/>
      <c r="D631" s="23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2.75" x14ac:dyDescent="0.2">
      <c r="A632" s="21"/>
      <c r="B632" s="21"/>
      <c r="C632" s="21"/>
      <c r="D632" s="23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2.75" x14ac:dyDescent="0.2">
      <c r="A633" s="21"/>
      <c r="B633" s="21"/>
      <c r="C633" s="21"/>
      <c r="D633" s="23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2.75" x14ac:dyDescent="0.2">
      <c r="A634" s="21"/>
      <c r="B634" s="21"/>
      <c r="C634" s="21"/>
      <c r="D634" s="23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2.75" x14ac:dyDescent="0.2">
      <c r="A635" s="21"/>
      <c r="B635" s="21"/>
      <c r="C635" s="21"/>
      <c r="D635" s="23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2.75" x14ac:dyDescent="0.2">
      <c r="A636" s="21"/>
      <c r="B636" s="21"/>
      <c r="C636" s="21"/>
      <c r="D636" s="23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2.75" x14ac:dyDescent="0.2">
      <c r="A637" s="21"/>
      <c r="B637" s="21"/>
      <c r="C637" s="21"/>
      <c r="D637" s="23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2.75" x14ac:dyDescent="0.2">
      <c r="A638" s="21"/>
      <c r="B638" s="21"/>
      <c r="C638" s="21"/>
      <c r="D638" s="23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2.75" x14ac:dyDescent="0.2">
      <c r="A639" s="21"/>
      <c r="B639" s="21"/>
      <c r="C639" s="21"/>
      <c r="D639" s="23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2.75" x14ac:dyDescent="0.2">
      <c r="A640" s="21"/>
      <c r="B640" s="21"/>
      <c r="C640" s="21"/>
      <c r="D640" s="23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2.75" x14ac:dyDescent="0.2">
      <c r="A641" s="21"/>
      <c r="B641" s="21"/>
      <c r="C641" s="21"/>
      <c r="D641" s="23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2.75" x14ac:dyDescent="0.2">
      <c r="A642" s="21"/>
      <c r="B642" s="21"/>
      <c r="C642" s="21"/>
      <c r="D642" s="23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2.75" x14ac:dyDescent="0.2">
      <c r="A643" s="21"/>
      <c r="B643" s="21"/>
      <c r="C643" s="21"/>
      <c r="D643" s="23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2.75" x14ac:dyDescent="0.2">
      <c r="A644" s="21"/>
      <c r="B644" s="21"/>
      <c r="C644" s="21"/>
      <c r="D644" s="23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2.75" x14ac:dyDescent="0.2">
      <c r="A645" s="21"/>
      <c r="B645" s="21"/>
      <c r="C645" s="21"/>
      <c r="D645" s="23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2.75" x14ac:dyDescent="0.2">
      <c r="A646" s="21"/>
      <c r="B646" s="21"/>
      <c r="C646" s="21"/>
      <c r="D646" s="23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2.75" x14ac:dyDescent="0.2">
      <c r="A647" s="21"/>
      <c r="B647" s="21"/>
      <c r="C647" s="21"/>
      <c r="D647" s="23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2.75" x14ac:dyDescent="0.2">
      <c r="A648" s="21"/>
      <c r="B648" s="21"/>
      <c r="C648" s="21"/>
      <c r="D648" s="23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2.75" x14ac:dyDescent="0.2">
      <c r="A649" s="21"/>
      <c r="B649" s="21"/>
      <c r="C649" s="21"/>
      <c r="D649" s="23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2.75" x14ac:dyDescent="0.2">
      <c r="A650" s="21"/>
      <c r="B650" s="21"/>
      <c r="C650" s="21"/>
      <c r="D650" s="23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2.75" x14ac:dyDescent="0.2">
      <c r="A651" s="21"/>
      <c r="B651" s="21"/>
      <c r="C651" s="21"/>
      <c r="D651" s="23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2.75" x14ac:dyDescent="0.2">
      <c r="A652" s="21"/>
      <c r="B652" s="21"/>
      <c r="C652" s="21"/>
      <c r="D652" s="23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2.75" x14ac:dyDescent="0.2">
      <c r="A653" s="21"/>
      <c r="B653" s="21"/>
      <c r="C653" s="21"/>
      <c r="D653" s="23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2.75" x14ac:dyDescent="0.2">
      <c r="A654" s="21"/>
      <c r="B654" s="21"/>
      <c r="C654" s="21"/>
      <c r="D654" s="23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2.75" x14ac:dyDescent="0.2">
      <c r="A655" s="21"/>
      <c r="B655" s="21"/>
      <c r="C655" s="21"/>
      <c r="D655" s="23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2.75" x14ac:dyDescent="0.2">
      <c r="A656" s="21"/>
      <c r="B656" s="21"/>
      <c r="C656" s="21"/>
      <c r="D656" s="23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2.75" x14ac:dyDescent="0.2">
      <c r="A657" s="21"/>
      <c r="B657" s="21"/>
      <c r="C657" s="21"/>
      <c r="D657" s="23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2.75" x14ac:dyDescent="0.2">
      <c r="A658" s="21"/>
      <c r="B658" s="21"/>
      <c r="C658" s="21"/>
      <c r="D658" s="23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2.75" x14ac:dyDescent="0.2">
      <c r="A659" s="21"/>
      <c r="B659" s="21"/>
      <c r="C659" s="21"/>
      <c r="D659" s="23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2.75" x14ac:dyDescent="0.2">
      <c r="A660" s="21"/>
      <c r="B660" s="21"/>
      <c r="C660" s="21"/>
      <c r="D660" s="23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2.75" x14ac:dyDescent="0.2">
      <c r="A661" s="21"/>
      <c r="B661" s="21"/>
      <c r="C661" s="21"/>
      <c r="D661" s="23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2.75" x14ac:dyDescent="0.2">
      <c r="A662" s="21"/>
      <c r="B662" s="21"/>
      <c r="C662" s="21"/>
      <c r="D662" s="23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2.75" x14ac:dyDescent="0.2">
      <c r="A663" s="21"/>
      <c r="B663" s="21"/>
      <c r="C663" s="21"/>
      <c r="D663" s="23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2.75" x14ac:dyDescent="0.2">
      <c r="A664" s="21"/>
      <c r="B664" s="21"/>
      <c r="C664" s="21"/>
      <c r="D664" s="23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2.75" x14ac:dyDescent="0.2">
      <c r="A665" s="21"/>
      <c r="B665" s="21"/>
      <c r="C665" s="21"/>
      <c r="D665" s="23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2.75" x14ac:dyDescent="0.2">
      <c r="A666" s="21"/>
      <c r="B666" s="21"/>
      <c r="C666" s="21"/>
      <c r="D666" s="23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2.75" x14ac:dyDescent="0.2">
      <c r="A667" s="21"/>
      <c r="B667" s="21"/>
      <c r="C667" s="21"/>
      <c r="D667" s="23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2.75" x14ac:dyDescent="0.2">
      <c r="A668" s="21"/>
      <c r="B668" s="21"/>
      <c r="C668" s="21"/>
      <c r="D668" s="23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2.75" x14ac:dyDescent="0.2">
      <c r="A669" s="21"/>
      <c r="B669" s="21"/>
      <c r="C669" s="21"/>
      <c r="D669" s="23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2.75" x14ac:dyDescent="0.2">
      <c r="A670" s="21"/>
      <c r="B670" s="21"/>
      <c r="C670" s="21"/>
      <c r="D670" s="23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2.75" x14ac:dyDescent="0.2">
      <c r="A671" s="21"/>
      <c r="B671" s="21"/>
      <c r="C671" s="21"/>
      <c r="D671" s="23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2.75" x14ac:dyDescent="0.2">
      <c r="A672" s="21"/>
      <c r="B672" s="21"/>
      <c r="C672" s="21"/>
      <c r="D672" s="23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2.75" x14ac:dyDescent="0.2">
      <c r="A673" s="21"/>
      <c r="B673" s="21"/>
      <c r="C673" s="21"/>
      <c r="D673" s="23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2.75" x14ac:dyDescent="0.2">
      <c r="A674" s="21"/>
      <c r="B674" s="21"/>
      <c r="C674" s="21"/>
      <c r="D674" s="23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2.75" x14ac:dyDescent="0.2">
      <c r="A675" s="21"/>
      <c r="B675" s="21"/>
      <c r="C675" s="21"/>
      <c r="D675" s="23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2.75" x14ac:dyDescent="0.2">
      <c r="A676" s="21"/>
      <c r="B676" s="21"/>
      <c r="C676" s="21"/>
      <c r="D676" s="23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2.75" x14ac:dyDescent="0.2">
      <c r="A677" s="21"/>
      <c r="B677" s="21"/>
      <c r="C677" s="21"/>
      <c r="D677" s="23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2.75" x14ac:dyDescent="0.2">
      <c r="A678" s="21"/>
      <c r="B678" s="21"/>
      <c r="C678" s="21"/>
      <c r="D678" s="23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2.75" x14ac:dyDescent="0.2">
      <c r="A679" s="21"/>
      <c r="B679" s="21"/>
      <c r="C679" s="21"/>
      <c r="D679" s="23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2.75" x14ac:dyDescent="0.2">
      <c r="A680" s="21"/>
      <c r="B680" s="21"/>
      <c r="C680" s="21"/>
      <c r="D680" s="23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2.75" x14ac:dyDescent="0.2">
      <c r="A681" s="21"/>
      <c r="B681" s="21"/>
      <c r="C681" s="21"/>
      <c r="D681" s="23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2.75" x14ac:dyDescent="0.2">
      <c r="A682" s="21"/>
      <c r="B682" s="21"/>
      <c r="C682" s="21"/>
      <c r="D682" s="23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2.75" x14ac:dyDescent="0.2">
      <c r="A683" s="21"/>
      <c r="B683" s="21"/>
      <c r="C683" s="21"/>
      <c r="D683" s="23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2.75" x14ac:dyDescent="0.2">
      <c r="A684" s="21"/>
      <c r="B684" s="21"/>
      <c r="C684" s="21"/>
      <c r="D684" s="23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2.75" x14ac:dyDescent="0.2">
      <c r="A685" s="21"/>
      <c r="B685" s="21"/>
      <c r="C685" s="21"/>
      <c r="D685" s="23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2.75" x14ac:dyDescent="0.2">
      <c r="A686" s="21"/>
      <c r="B686" s="21"/>
      <c r="C686" s="21"/>
      <c r="D686" s="23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2.75" x14ac:dyDescent="0.2">
      <c r="A687" s="21"/>
      <c r="B687" s="21"/>
      <c r="C687" s="21"/>
      <c r="D687" s="23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2.75" x14ac:dyDescent="0.2">
      <c r="A688" s="21"/>
      <c r="B688" s="21"/>
      <c r="C688" s="21"/>
      <c r="D688" s="23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2.75" x14ac:dyDescent="0.2">
      <c r="A689" s="21"/>
      <c r="B689" s="21"/>
      <c r="C689" s="21"/>
      <c r="D689" s="23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2.75" x14ac:dyDescent="0.2">
      <c r="A690" s="21"/>
      <c r="B690" s="21"/>
      <c r="C690" s="21"/>
      <c r="D690" s="23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2.75" x14ac:dyDescent="0.2">
      <c r="A691" s="21"/>
      <c r="B691" s="21"/>
      <c r="C691" s="21"/>
      <c r="D691" s="23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2.75" x14ac:dyDescent="0.2">
      <c r="A692" s="21"/>
      <c r="B692" s="21"/>
      <c r="C692" s="21"/>
      <c r="D692" s="23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2.75" x14ac:dyDescent="0.2">
      <c r="A693" s="21"/>
      <c r="B693" s="21"/>
      <c r="C693" s="21"/>
      <c r="D693" s="23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2.75" x14ac:dyDescent="0.2">
      <c r="A694" s="21"/>
      <c r="B694" s="21"/>
      <c r="C694" s="21"/>
      <c r="D694" s="23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2.75" x14ac:dyDescent="0.2">
      <c r="A695" s="21"/>
      <c r="B695" s="21"/>
      <c r="C695" s="21"/>
      <c r="D695" s="23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2.75" x14ac:dyDescent="0.2">
      <c r="A696" s="21"/>
      <c r="B696" s="21"/>
      <c r="C696" s="21"/>
      <c r="D696" s="23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2.75" x14ac:dyDescent="0.2">
      <c r="A697" s="21"/>
      <c r="B697" s="21"/>
      <c r="C697" s="21"/>
      <c r="D697" s="23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2.75" x14ac:dyDescent="0.2">
      <c r="A698" s="21"/>
      <c r="B698" s="21"/>
      <c r="C698" s="21"/>
      <c r="D698" s="23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2.75" x14ac:dyDescent="0.2">
      <c r="A699" s="21"/>
      <c r="B699" s="21"/>
      <c r="C699" s="21"/>
      <c r="D699" s="23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2.75" x14ac:dyDescent="0.2">
      <c r="A700" s="21"/>
      <c r="B700" s="21"/>
      <c r="C700" s="21"/>
      <c r="D700" s="23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2.75" x14ac:dyDescent="0.2">
      <c r="A701" s="21"/>
      <c r="B701" s="21"/>
      <c r="C701" s="21"/>
      <c r="D701" s="23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2.75" x14ac:dyDescent="0.2">
      <c r="A702" s="21"/>
      <c r="B702" s="21"/>
      <c r="C702" s="21"/>
      <c r="D702" s="23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2.75" x14ac:dyDescent="0.2">
      <c r="A703" s="21"/>
      <c r="B703" s="21"/>
      <c r="C703" s="21"/>
      <c r="D703" s="23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2.75" x14ac:dyDescent="0.2">
      <c r="A704" s="21"/>
      <c r="B704" s="21"/>
      <c r="C704" s="21"/>
      <c r="D704" s="23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2.75" x14ac:dyDescent="0.2">
      <c r="A705" s="21"/>
      <c r="B705" s="21"/>
      <c r="C705" s="21"/>
      <c r="D705" s="23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2.75" x14ac:dyDescent="0.2">
      <c r="A706" s="21"/>
      <c r="B706" s="21"/>
      <c r="C706" s="21"/>
      <c r="D706" s="23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2.75" x14ac:dyDescent="0.2">
      <c r="A707" s="21"/>
      <c r="B707" s="21"/>
      <c r="C707" s="21"/>
      <c r="D707" s="23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2.75" x14ac:dyDescent="0.2">
      <c r="A708" s="21"/>
      <c r="B708" s="21"/>
      <c r="C708" s="21"/>
      <c r="D708" s="23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2.75" x14ac:dyDescent="0.2">
      <c r="A709" s="21"/>
      <c r="B709" s="21"/>
      <c r="C709" s="21"/>
      <c r="D709" s="23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2.75" x14ac:dyDescent="0.2">
      <c r="A710" s="21"/>
      <c r="B710" s="21"/>
      <c r="C710" s="21"/>
      <c r="D710" s="23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2.75" x14ac:dyDescent="0.2">
      <c r="A711" s="21"/>
      <c r="B711" s="21"/>
      <c r="C711" s="21"/>
      <c r="D711" s="23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2.75" x14ac:dyDescent="0.2">
      <c r="A712" s="21"/>
      <c r="B712" s="21"/>
      <c r="C712" s="21"/>
      <c r="D712" s="23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2.75" x14ac:dyDescent="0.2">
      <c r="A713" s="21"/>
      <c r="B713" s="21"/>
      <c r="C713" s="21"/>
      <c r="D713" s="23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2.75" x14ac:dyDescent="0.2">
      <c r="A714" s="21"/>
      <c r="B714" s="21"/>
      <c r="C714" s="21"/>
      <c r="D714" s="23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2.75" x14ac:dyDescent="0.2">
      <c r="A715" s="21"/>
      <c r="B715" s="21"/>
      <c r="C715" s="21"/>
      <c r="D715" s="23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2.75" x14ac:dyDescent="0.2">
      <c r="A716" s="21"/>
      <c r="B716" s="21"/>
      <c r="C716" s="21"/>
      <c r="D716" s="23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2.75" x14ac:dyDescent="0.2">
      <c r="A717" s="21"/>
      <c r="B717" s="21"/>
      <c r="C717" s="21"/>
      <c r="D717" s="23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2.75" x14ac:dyDescent="0.2">
      <c r="A718" s="21"/>
      <c r="B718" s="21"/>
      <c r="C718" s="21"/>
      <c r="D718" s="23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2.75" x14ac:dyDescent="0.2">
      <c r="A719" s="21"/>
      <c r="B719" s="21"/>
      <c r="C719" s="21"/>
      <c r="D719" s="23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2.75" x14ac:dyDescent="0.2">
      <c r="A720" s="21"/>
      <c r="B720" s="21"/>
      <c r="C720" s="21"/>
      <c r="D720" s="23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2.75" x14ac:dyDescent="0.2">
      <c r="A721" s="21"/>
      <c r="B721" s="21"/>
      <c r="C721" s="21"/>
      <c r="D721" s="23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2.75" x14ac:dyDescent="0.2">
      <c r="A722" s="21"/>
      <c r="B722" s="21"/>
      <c r="C722" s="21"/>
      <c r="D722" s="23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2.75" x14ac:dyDescent="0.2">
      <c r="A723" s="21"/>
      <c r="B723" s="21"/>
      <c r="C723" s="21"/>
      <c r="D723" s="23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2.75" x14ac:dyDescent="0.2">
      <c r="A724" s="21"/>
      <c r="B724" s="21"/>
      <c r="C724" s="21"/>
      <c r="D724" s="23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2.75" x14ac:dyDescent="0.2">
      <c r="A725" s="21"/>
      <c r="B725" s="21"/>
      <c r="C725" s="21"/>
      <c r="D725" s="23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2.75" x14ac:dyDescent="0.2">
      <c r="A726" s="21"/>
      <c r="B726" s="21"/>
      <c r="C726" s="21"/>
      <c r="D726" s="23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2.75" x14ac:dyDescent="0.2">
      <c r="A727" s="21"/>
      <c r="B727" s="21"/>
      <c r="C727" s="21"/>
      <c r="D727" s="23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2.75" x14ac:dyDescent="0.2">
      <c r="A728" s="21"/>
      <c r="B728" s="21"/>
      <c r="C728" s="21"/>
      <c r="D728" s="23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2.75" x14ac:dyDescent="0.2">
      <c r="A729" s="21"/>
      <c r="B729" s="21"/>
      <c r="C729" s="21"/>
      <c r="D729" s="23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2.75" x14ac:dyDescent="0.2">
      <c r="A730" s="21"/>
      <c r="B730" s="21"/>
      <c r="C730" s="21"/>
      <c r="D730" s="23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2.75" x14ac:dyDescent="0.2">
      <c r="A731" s="21"/>
      <c r="B731" s="21"/>
      <c r="C731" s="21"/>
      <c r="D731" s="23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2.75" x14ac:dyDescent="0.2">
      <c r="A732" s="21"/>
      <c r="B732" s="21"/>
      <c r="C732" s="21"/>
      <c r="D732" s="23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2.75" x14ac:dyDescent="0.2">
      <c r="A733" s="21"/>
      <c r="B733" s="21"/>
      <c r="C733" s="21"/>
      <c r="D733" s="23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2.75" x14ac:dyDescent="0.2">
      <c r="A734" s="21"/>
      <c r="B734" s="21"/>
      <c r="C734" s="21"/>
      <c r="D734" s="23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2.75" x14ac:dyDescent="0.2">
      <c r="A735" s="21"/>
      <c r="B735" s="21"/>
      <c r="C735" s="21"/>
      <c r="D735" s="23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2.75" x14ac:dyDescent="0.2">
      <c r="A736" s="21"/>
      <c r="B736" s="21"/>
      <c r="C736" s="21"/>
      <c r="D736" s="23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2.75" x14ac:dyDescent="0.2">
      <c r="A737" s="21"/>
      <c r="B737" s="21"/>
      <c r="C737" s="21"/>
      <c r="D737" s="23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2.75" x14ac:dyDescent="0.2">
      <c r="A738" s="21"/>
      <c r="B738" s="21"/>
      <c r="C738" s="21"/>
      <c r="D738" s="23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2.75" x14ac:dyDescent="0.2">
      <c r="A739" s="21"/>
      <c r="B739" s="21"/>
      <c r="C739" s="21"/>
      <c r="D739" s="23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2.75" x14ac:dyDescent="0.2">
      <c r="A740" s="21"/>
      <c r="B740" s="21"/>
      <c r="C740" s="21"/>
      <c r="D740" s="23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2.75" x14ac:dyDescent="0.2">
      <c r="A741" s="21"/>
      <c r="B741" s="21"/>
      <c r="C741" s="21"/>
      <c r="D741" s="23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2.75" x14ac:dyDescent="0.2">
      <c r="A742" s="21"/>
      <c r="B742" s="21"/>
      <c r="C742" s="21"/>
      <c r="D742" s="23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2.75" x14ac:dyDescent="0.2">
      <c r="A743" s="21"/>
      <c r="B743" s="21"/>
      <c r="C743" s="21"/>
      <c r="D743" s="23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2.75" x14ac:dyDescent="0.2">
      <c r="A744" s="21"/>
      <c r="B744" s="21"/>
      <c r="C744" s="21"/>
      <c r="D744" s="23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2.75" x14ac:dyDescent="0.2">
      <c r="A745" s="21"/>
      <c r="B745" s="21"/>
      <c r="C745" s="21"/>
      <c r="D745" s="23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2.75" x14ac:dyDescent="0.2">
      <c r="A746" s="21"/>
      <c r="B746" s="21"/>
      <c r="C746" s="21"/>
      <c r="D746" s="23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2.75" x14ac:dyDescent="0.2">
      <c r="A747" s="21"/>
      <c r="B747" s="21"/>
      <c r="C747" s="21"/>
      <c r="D747" s="23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2.75" x14ac:dyDescent="0.2">
      <c r="A748" s="21"/>
      <c r="B748" s="21"/>
      <c r="C748" s="21"/>
      <c r="D748" s="23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2.75" x14ac:dyDescent="0.2">
      <c r="A749" s="21"/>
      <c r="B749" s="21"/>
      <c r="C749" s="21"/>
      <c r="D749" s="23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2.75" x14ac:dyDescent="0.2">
      <c r="A750" s="21"/>
      <c r="B750" s="21"/>
      <c r="C750" s="21"/>
      <c r="D750" s="23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2.75" x14ac:dyDescent="0.2">
      <c r="A751" s="21"/>
      <c r="B751" s="21"/>
      <c r="C751" s="21"/>
      <c r="D751" s="23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2.75" x14ac:dyDescent="0.2">
      <c r="A752" s="21"/>
      <c r="B752" s="21"/>
      <c r="C752" s="21"/>
      <c r="D752" s="23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2.75" x14ac:dyDescent="0.2">
      <c r="A753" s="21"/>
      <c r="B753" s="21"/>
      <c r="C753" s="21"/>
      <c r="D753" s="23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2.75" x14ac:dyDescent="0.2">
      <c r="A754" s="21"/>
      <c r="B754" s="21"/>
      <c r="C754" s="21"/>
      <c r="D754" s="23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2.75" x14ac:dyDescent="0.2">
      <c r="A755" s="21"/>
      <c r="B755" s="21"/>
      <c r="C755" s="21"/>
      <c r="D755" s="23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2.75" x14ac:dyDescent="0.2">
      <c r="A756" s="21"/>
      <c r="B756" s="21"/>
      <c r="C756" s="21"/>
      <c r="D756" s="23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2.75" x14ac:dyDescent="0.2">
      <c r="A757" s="21"/>
      <c r="B757" s="21"/>
      <c r="C757" s="21"/>
      <c r="D757" s="23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2.75" x14ac:dyDescent="0.2">
      <c r="A758" s="21"/>
      <c r="B758" s="21"/>
      <c r="C758" s="21"/>
      <c r="D758" s="23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2.75" x14ac:dyDescent="0.2">
      <c r="A759" s="21"/>
      <c r="B759" s="21"/>
      <c r="C759" s="21"/>
      <c r="D759" s="23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2.75" x14ac:dyDescent="0.2">
      <c r="A760" s="21"/>
      <c r="B760" s="21"/>
      <c r="C760" s="21"/>
      <c r="D760" s="23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2.75" x14ac:dyDescent="0.2">
      <c r="A761" s="21"/>
      <c r="B761" s="21"/>
      <c r="C761" s="21"/>
      <c r="D761" s="23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2.75" x14ac:dyDescent="0.2">
      <c r="A762" s="21"/>
      <c r="B762" s="21"/>
      <c r="C762" s="21"/>
      <c r="D762" s="23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2.75" x14ac:dyDescent="0.2">
      <c r="A763" s="21"/>
      <c r="B763" s="21"/>
      <c r="C763" s="21"/>
      <c r="D763" s="23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2.75" x14ac:dyDescent="0.2">
      <c r="A764" s="21"/>
      <c r="B764" s="21"/>
      <c r="C764" s="21"/>
      <c r="D764" s="23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2.75" x14ac:dyDescent="0.2">
      <c r="A765" s="21"/>
      <c r="B765" s="21"/>
      <c r="C765" s="21"/>
      <c r="D765" s="23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2.75" x14ac:dyDescent="0.2">
      <c r="A766" s="21"/>
      <c r="B766" s="21"/>
      <c r="C766" s="21"/>
      <c r="D766" s="23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2.75" x14ac:dyDescent="0.2">
      <c r="A767" s="21"/>
      <c r="B767" s="21"/>
      <c r="C767" s="21"/>
      <c r="D767" s="23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2.75" x14ac:dyDescent="0.2">
      <c r="A768" s="21"/>
      <c r="B768" s="21"/>
      <c r="C768" s="21"/>
      <c r="D768" s="23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2.75" x14ac:dyDescent="0.2">
      <c r="A769" s="21"/>
      <c r="B769" s="21"/>
      <c r="C769" s="21"/>
      <c r="D769" s="23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2.75" x14ac:dyDescent="0.2">
      <c r="A770" s="21"/>
      <c r="B770" s="21"/>
      <c r="C770" s="21"/>
      <c r="D770" s="23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2.75" x14ac:dyDescent="0.2">
      <c r="A771" s="21"/>
      <c r="B771" s="21"/>
      <c r="C771" s="21"/>
      <c r="D771" s="23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2.75" x14ac:dyDescent="0.2">
      <c r="A772" s="21"/>
      <c r="B772" s="21"/>
      <c r="C772" s="21"/>
      <c r="D772" s="23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2.75" x14ac:dyDescent="0.2">
      <c r="A773" s="21"/>
      <c r="B773" s="21"/>
      <c r="C773" s="21"/>
      <c r="D773" s="23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2.75" x14ac:dyDescent="0.2">
      <c r="A774" s="21"/>
      <c r="B774" s="21"/>
      <c r="C774" s="21"/>
      <c r="D774" s="23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2.75" x14ac:dyDescent="0.2">
      <c r="A775" s="21"/>
      <c r="B775" s="21"/>
      <c r="C775" s="21"/>
      <c r="D775" s="23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2.75" x14ac:dyDescent="0.2">
      <c r="A776" s="21"/>
      <c r="B776" s="21"/>
      <c r="C776" s="21"/>
      <c r="D776" s="23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2.75" x14ac:dyDescent="0.2">
      <c r="A777" s="21"/>
      <c r="B777" s="21"/>
      <c r="C777" s="21"/>
      <c r="D777" s="23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2.75" x14ac:dyDescent="0.2">
      <c r="A778" s="21"/>
      <c r="B778" s="21"/>
      <c r="C778" s="21"/>
      <c r="D778" s="23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2.75" x14ac:dyDescent="0.2">
      <c r="A779" s="21"/>
      <c r="B779" s="21"/>
      <c r="C779" s="21"/>
      <c r="D779" s="23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2.75" x14ac:dyDescent="0.2">
      <c r="A780" s="21"/>
      <c r="B780" s="21"/>
      <c r="C780" s="21"/>
      <c r="D780" s="23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2.75" x14ac:dyDescent="0.2">
      <c r="A781" s="21"/>
      <c r="B781" s="21"/>
      <c r="C781" s="21"/>
      <c r="D781" s="23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2.75" x14ac:dyDescent="0.2">
      <c r="A782" s="21"/>
      <c r="B782" s="21"/>
      <c r="C782" s="21"/>
      <c r="D782" s="23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2.75" x14ac:dyDescent="0.2">
      <c r="A783" s="21"/>
      <c r="B783" s="21"/>
      <c r="C783" s="21"/>
      <c r="D783" s="23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2.75" x14ac:dyDescent="0.2">
      <c r="A784" s="21"/>
      <c r="B784" s="21"/>
      <c r="C784" s="21"/>
      <c r="D784" s="23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2.75" x14ac:dyDescent="0.2">
      <c r="A785" s="21"/>
      <c r="B785" s="21"/>
      <c r="C785" s="21"/>
      <c r="D785" s="23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2.75" x14ac:dyDescent="0.2">
      <c r="A786" s="21"/>
      <c r="B786" s="21"/>
      <c r="C786" s="21"/>
      <c r="D786" s="23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2.75" x14ac:dyDescent="0.2">
      <c r="A787" s="21"/>
      <c r="B787" s="21"/>
      <c r="C787" s="21"/>
      <c r="D787" s="23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2.75" x14ac:dyDescent="0.2">
      <c r="A788" s="21"/>
      <c r="B788" s="21"/>
      <c r="C788" s="21"/>
      <c r="D788" s="23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2.75" x14ac:dyDescent="0.2">
      <c r="A789" s="21"/>
      <c r="B789" s="21"/>
      <c r="C789" s="21"/>
      <c r="D789" s="23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2.75" x14ac:dyDescent="0.2">
      <c r="A790" s="21"/>
      <c r="B790" s="21"/>
      <c r="C790" s="21"/>
      <c r="D790" s="23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2.75" x14ac:dyDescent="0.2">
      <c r="A791" s="21"/>
      <c r="B791" s="21"/>
      <c r="C791" s="21"/>
      <c r="D791" s="23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2.75" x14ac:dyDescent="0.2">
      <c r="A792" s="21"/>
      <c r="B792" s="21"/>
      <c r="C792" s="21"/>
      <c r="D792" s="23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2.75" x14ac:dyDescent="0.2">
      <c r="A793" s="21"/>
      <c r="B793" s="21"/>
      <c r="C793" s="21"/>
      <c r="D793" s="23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2.75" x14ac:dyDescent="0.2">
      <c r="A794" s="21"/>
      <c r="B794" s="21"/>
      <c r="C794" s="21"/>
      <c r="D794" s="23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2.75" x14ac:dyDescent="0.2">
      <c r="A795" s="21"/>
      <c r="B795" s="21"/>
      <c r="C795" s="21"/>
      <c r="D795" s="23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2.75" x14ac:dyDescent="0.2">
      <c r="A796" s="21"/>
      <c r="B796" s="21"/>
      <c r="C796" s="21"/>
      <c r="D796" s="23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2.75" x14ac:dyDescent="0.2">
      <c r="A797" s="21"/>
      <c r="B797" s="21"/>
      <c r="C797" s="21"/>
      <c r="D797" s="23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2.75" x14ac:dyDescent="0.2">
      <c r="A798" s="21"/>
      <c r="B798" s="21"/>
      <c r="C798" s="21"/>
      <c r="D798" s="23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2.75" x14ac:dyDescent="0.2">
      <c r="A799" s="21"/>
      <c r="B799" s="21"/>
      <c r="C799" s="21"/>
      <c r="D799" s="23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2.75" x14ac:dyDescent="0.2">
      <c r="A800" s="21"/>
      <c r="B800" s="21"/>
      <c r="C800" s="21"/>
      <c r="D800" s="23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2.75" x14ac:dyDescent="0.2">
      <c r="A801" s="21"/>
      <c r="B801" s="21"/>
      <c r="C801" s="21"/>
      <c r="D801" s="23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2.75" x14ac:dyDescent="0.2">
      <c r="A802" s="21"/>
      <c r="B802" s="21"/>
      <c r="C802" s="21"/>
      <c r="D802" s="23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2.75" x14ac:dyDescent="0.2">
      <c r="A803" s="21"/>
      <c r="B803" s="21"/>
      <c r="C803" s="21"/>
      <c r="D803" s="23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2.75" x14ac:dyDescent="0.2">
      <c r="A804" s="21"/>
      <c r="B804" s="21"/>
      <c r="C804" s="21"/>
      <c r="D804" s="23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2.75" x14ac:dyDescent="0.2">
      <c r="A805" s="21"/>
      <c r="B805" s="21"/>
      <c r="C805" s="21"/>
      <c r="D805" s="23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2.75" x14ac:dyDescent="0.2">
      <c r="A806" s="21"/>
      <c r="B806" s="21"/>
      <c r="C806" s="21"/>
      <c r="D806" s="23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2.75" x14ac:dyDescent="0.2">
      <c r="A807" s="21"/>
      <c r="B807" s="21"/>
      <c r="C807" s="21"/>
      <c r="D807" s="23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2.75" x14ac:dyDescent="0.2">
      <c r="A808" s="21"/>
      <c r="B808" s="21"/>
      <c r="C808" s="21"/>
      <c r="D808" s="23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2.75" x14ac:dyDescent="0.2">
      <c r="A809" s="21"/>
      <c r="B809" s="21"/>
      <c r="C809" s="21"/>
      <c r="D809" s="23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2.75" x14ac:dyDescent="0.2">
      <c r="A810" s="21"/>
      <c r="B810" s="21"/>
      <c r="C810" s="21"/>
      <c r="D810" s="23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2.75" x14ac:dyDescent="0.2">
      <c r="A811" s="21"/>
      <c r="B811" s="21"/>
      <c r="C811" s="21"/>
      <c r="D811" s="23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2.75" x14ac:dyDescent="0.2">
      <c r="A812" s="21"/>
      <c r="B812" s="21"/>
      <c r="C812" s="21"/>
      <c r="D812" s="23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2.75" x14ac:dyDescent="0.2">
      <c r="A813" s="21"/>
      <c r="B813" s="21"/>
      <c r="C813" s="21"/>
      <c r="D813" s="23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2.75" x14ac:dyDescent="0.2">
      <c r="A814" s="21"/>
      <c r="B814" s="21"/>
      <c r="C814" s="21"/>
      <c r="D814" s="23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2.75" x14ac:dyDescent="0.2">
      <c r="A815" s="21"/>
      <c r="B815" s="21"/>
      <c r="C815" s="21"/>
      <c r="D815" s="23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2.75" x14ac:dyDescent="0.2">
      <c r="A816" s="21"/>
      <c r="B816" s="21"/>
      <c r="C816" s="21"/>
      <c r="D816" s="23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2.75" x14ac:dyDescent="0.2">
      <c r="A817" s="21"/>
      <c r="B817" s="21"/>
      <c r="C817" s="21"/>
      <c r="D817" s="23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2.75" x14ac:dyDescent="0.2">
      <c r="A818" s="21"/>
      <c r="B818" s="21"/>
      <c r="C818" s="21"/>
      <c r="D818" s="23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2.75" x14ac:dyDescent="0.2">
      <c r="A819" s="21"/>
      <c r="B819" s="21"/>
      <c r="C819" s="21"/>
      <c r="D819" s="23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2.75" x14ac:dyDescent="0.2">
      <c r="A820" s="21"/>
      <c r="B820" s="21"/>
      <c r="C820" s="21"/>
      <c r="D820" s="23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2.75" x14ac:dyDescent="0.2">
      <c r="A821" s="21"/>
      <c r="B821" s="21"/>
      <c r="C821" s="21"/>
      <c r="D821" s="23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2.75" x14ac:dyDescent="0.2">
      <c r="A822" s="21"/>
      <c r="B822" s="21"/>
      <c r="C822" s="21"/>
      <c r="D822" s="23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2.75" x14ac:dyDescent="0.2">
      <c r="A823" s="21"/>
      <c r="B823" s="21"/>
      <c r="C823" s="21"/>
      <c r="D823" s="23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2.75" x14ac:dyDescent="0.2">
      <c r="A824" s="21"/>
      <c r="B824" s="21"/>
      <c r="C824" s="21"/>
      <c r="D824" s="23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2.75" x14ac:dyDescent="0.2">
      <c r="A825" s="21"/>
      <c r="B825" s="21"/>
      <c r="C825" s="21"/>
      <c r="D825" s="23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2.75" x14ac:dyDescent="0.2">
      <c r="A826" s="21"/>
      <c r="B826" s="21"/>
      <c r="C826" s="21"/>
      <c r="D826" s="23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2.75" x14ac:dyDescent="0.2">
      <c r="A827" s="21"/>
      <c r="B827" s="21"/>
      <c r="C827" s="21"/>
      <c r="D827" s="23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2.75" x14ac:dyDescent="0.2">
      <c r="A828" s="21"/>
      <c r="B828" s="21"/>
      <c r="C828" s="21"/>
      <c r="D828" s="23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2.75" x14ac:dyDescent="0.2">
      <c r="A829" s="21"/>
      <c r="B829" s="21"/>
      <c r="C829" s="21"/>
      <c r="D829" s="23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2.75" x14ac:dyDescent="0.2">
      <c r="A830" s="21"/>
      <c r="B830" s="21"/>
      <c r="C830" s="21"/>
      <c r="D830" s="23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2.75" x14ac:dyDescent="0.2">
      <c r="A831" s="21"/>
      <c r="B831" s="21"/>
      <c r="C831" s="21"/>
      <c r="D831" s="23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2.75" x14ac:dyDescent="0.2">
      <c r="A832" s="21"/>
      <c r="B832" s="21"/>
      <c r="C832" s="21"/>
      <c r="D832" s="23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2.75" x14ac:dyDescent="0.2">
      <c r="A833" s="21"/>
      <c r="B833" s="21"/>
      <c r="C833" s="21"/>
      <c r="D833" s="23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2.75" x14ac:dyDescent="0.2">
      <c r="A834" s="21"/>
      <c r="B834" s="21"/>
      <c r="C834" s="21"/>
      <c r="D834" s="23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2.75" x14ac:dyDescent="0.2">
      <c r="A835" s="21"/>
      <c r="B835" s="21"/>
      <c r="C835" s="21"/>
      <c r="D835" s="23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2.75" x14ac:dyDescent="0.2">
      <c r="A836" s="21"/>
      <c r="B836" s="21"/>
      <c r="C836" s="21"/>
      <c r="D836" s="23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2.75" x14ac:dyDescent="0.2">
      <c r="A837" s="21"/>
      <c r="B837" s="21"/>
      <c r="C837" s="21"/>
      <c r="D837" s="23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2.75" x14ac:dyDescent="0.2">
      <c r="A838" s="21"/>
      <c r="B838" s="21"/>
      <c r="C838" s="21"/>
      <c r="D838" s="23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2.75" x14ac:dyDescent="0.2">
      <c r="A839" s="21"/>
      <c r="B839" s="21"/>
      <c r="C839" s="21"/>
      <c r="D839" s="23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2.75" x14ac:dyDescent="0.2">
      <c r="A840" s="21"/>
      <c r="B840" s="21"/>
      <c r="C840" s="21"/>
      <c r="D840" s="23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2.75" x14ac:dyDescent="0.2">
      <c r="A841" s="21"/>
      <c r="B841" s="21"/>
      <c r="C841" s="21"/>
      <c r="D841" s="23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2.75" x14ac:dyDescent="0.2">
      <c r="A842" s="21"/>
      <c r="B842" s="21"/>
      <c r="C842" s="21"/>
      <c r="D842" s="23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2.75" x14ac:dyDescent="0.2">
      <c r="A843" s="21"/>
      <c r="B843" s="21"/>
      <c r="C843" s="21"/>
      <c r="D843" s="23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2.75" x14ac:dyDescent="0.2">
      <c r="A844" s="21"/>
      <c r="B844" s="21"/>
      <c r="C844" s="21"/>
      <c r="D844" s="23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2.75" x14ac:dyDescent="0.2">
      <c r="A845" s="21"/>
      <c r="B845" s="21"/>
      <c r="C845" s="21"/>
      <c r="D845" s="23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2.75" x14ac:dyDescent="0.2">
      <c r="A846" s="21"/>
      <c r="B846" s="21"/>
      <c r="C846" s="21"/>
      <c r="D846" s="23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2.75" x14ac:dyDescent="0.2">
      <c r="A847" s="21"/>
      <c r="B847" s="21"/>
      <c r="C847" s="21"/>
      <c r="D847" s="23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2.75" x14ac:dyDescent="0.2">
      <c r="A848" s="21"/>
      <c r="B848" s="21"/>
      <c r="C848" s="21"/>
      <c r="D848" s="23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2.75" x14ac:dyDescent="0.2">
      <c r="A849" s="21"/>
      <c r="B849" s="21"/>
      <c r="C849" s="21"/>
      <c r="D849" s="23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2.75" x14ac:dyDescent="0.2">
      <c r="A850" s="21"/>
      <c r="B850" s="21"/>
      <c r="C850" s="21"/>
      <c r="D850" s="23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2.75" x14ac:dyDescent="0.2">
      <c r="A851" s="21"/>
      <c r="B851" s="21"/>
      <c r="C851" s="21"/>
      <c r="D851" s="23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2.75" x14ac:dyDescent="0.2">
      <c r="A852" s="21"/>
      <c r="B852" s="21"/>
      <c r="C852" s="21"/>
      <c r="D852" s="23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2.75" x14ac:dyDescent="0.2">
      <c r="A853" s="21"/>
      <c r="B853" s="21"/>
      <c r="C853" s="21"/>
      <c r="D853" s="23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2.75" x14ac:dyDescent="0.2">
      <c r="A854" s="21"/>
      <c r="B854" s="21"/>
      <c r="C854" s="21"/>
      <c r="D854" s="23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2.75" x14ac:dyDescent="0.2">
      <c r="A855" s="21"/>
      <c r="B855" s="21"/>
      <c r="C855" s="21"/>
      <c r="D855" s="23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2.75" x14ac:dyDescent="0.2">
      <c r="A856" s="21"/>
      <c r="B856" s="21"/>
      <c r="C856" s="21"/>
      <c r="D856" s="23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2.75" x14ac:dyDescent="0.2">
      <c r="A857" s="21"/>
      <c r="B857" s="21"/>
      <c r="C857" s="21"/>
      <c r="D857" s="23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2.75" x14ac:dyDescent="0.2">
      <c r="A858" s="21"/>
      <c r="B858" s="21"/>
      <c r="C858" s="21"/>
      <c r="D858" s="23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2.75" x14ac:dyDescent="0.2">
      <c r="A859" s="21"/>
      <c r="B859" s="21"/>
      <c r="C859" s="21"/>
      <c r="D859" s="23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2.75" x14ac:dyDescent="0.2">
      <c r="A860" s="21"/>
      <c r="B860" s="21"/>
      <c r="C860" s="21"/>
      <c r="D860" s="23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2.75" x14ac:dyDescent="0.2">
      <c r="A861" s="21"/>
      <c r="B861" s="21"/>
      <c r="C861" s="21"/>
      <c r="D861" s="23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2.75" x14ac:dyDescent="0.2">
      <c r="A862" s="21"/>
      <c r="B862" s="21"/>
      <c r="C862" s="21"/>
      <c r="D862" s="23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2.75" x14ac:dyDescent="0.2">
      <c r="A863" s="21"/>
      <c r="B863" s="21"/>
      <c r="C863" s="21"/>
      <c r="D863" s="23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2.75" x14ac:dyDescent="0.2">
      <c r="A864" s="21"/>
      <c r="B864" s="21"/>
      <c r="C864" s="21"/>
      <c r="D864" s="23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2.75" x14ac:dyDescent="0.2">
      <c r="A865" s="21"/>
      <c r="B865" s="21"/>
      <c r="C865" s="21"/>
      <c r="D865" s="23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2.75" x14ac:dyDescent="0.2">
      <c r="A866" s="21"/>
      <c r="B866" s="21"/>
      <c r="C866" s="21"/>
      <c r="D866" s="23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2.75" x14ac:dyDescent="0.2">
      <c r="A867" s="21"/>
      <c r="B867" s="21"/>
      <c r="C867" s="21"/>
      <c r="D867" s="23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2.75" x14ac:dyDescent="0.2">
      <c r="A868" s="21"/>
      <c r="B868" s="21"/>
      <c r="C868" s="21"/>
      <c r="D868" s="23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2.75" x14ac:dyDescent="0.2">
      <c r="A869" s="21"/>
      <c r="B869" s="21"/>
      <c r="C869" s="21"/>
      <c r="D869" s="23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2.75" x14ac:dyDescent="0.2">
      <c r="A870" s="21"/>
      <c r="B870" s="21"/>
      <c r="C870" s="21"/>
      <c r="D870" s="23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2.75" x14ac:dyDescent="0.2">
      <c r="A871" s="21"/>
      <c r="B871" s="21"/>
      <c r="C871" s="21"/>
      <c r="D871" s="23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2.75" x14ac:dyDescent="0.2">
      <c r="A872" s="21"/>
      <c r="B872" s="21"/>
      <c r="C872" s="21"/>
      <c r="D872" s="23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2.75" x14ac:dyDescent="0.2">
      <c r="A873" s="21"/>
      <c r="B873" s="21"/>
      <c r="C873" s="21"/>
      <c r="D873" s="23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2.75" x14ac:dyDescent="0.2">
      <c r="A874" s="21"/>
      <c r="B874" s="21"/>
      <c r="C874" s="21"/>
      <c r="D874" s="23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2.75" x14ac:dyDescent="0.2">
      <c r="A875" s="21"/>
      <c r="B875" s="21"/>
      <c r="C875" s="21"/>
      <c r="D875" s="23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2.75" x14ac:dyDescent="0.2">
      <c r="A876" s="21"/>
      <c r="B876" s="21"/>
      <c r="C876" s="21"/>
      <c r="D876" s="23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2.75" x14ac:dyDescent="0.2">
      <c r="A877" s="21"/>
      <c r="B877" s="21"/>
      <c r="C877" s="21"/>
      <c r="D877" s="23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2.75" x14ac:dyDescent="0.2">
      <c r="A878" s="21"/>
      <c r="B878" s="21"/>
      <c r="C878" s="21"/>
      <c r="D878" s="23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2.75" x14ac:dyDescent="0.2">
      <c r="A879" s="21"/>
      <c r="B879" s="21"/>
      <c r="C879" s="21"/>
      <c r="D879" s="23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2.75" x14ac:dyDescent="0.2">
      <c r="A880" s="21"/>
      <c r="B880" s="21"/>
      <c r="C880" s="21"/>
      <c r="D880" s="23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2.75" x14ac:dyDescent="0.2">
      <c r="A881" s="21"/>
      <c r="B881" s="21"/>
      <c r="C881" s="21"/>
      <c r="D881" s="23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2.75" x14ac:dyDescent="0.2">
      <c r="A882" s="21"/>
      <c r="B882" s="21"/>
      <c r="C882" s="21"/>
      <c r="D882" s="23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2.75" x14ac:dyDescent="0.2">
      <c r="A883" s="21"/>
      <c r="B883" s="21"/>
      <c r="C883" s="21"/>
      <c r="D883" s="23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2.75" x14ac:dyDescent="0.2">
      <c r="A884" s="21"/>
      <c r="B884" s="21"/>
      <c r="C884" s="21"/>
      <c r="D884" s="23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2.75" x14ac:dyDescent="0.2">
      <c r="A885" s="21"/>
      <c r="B885" s="21"/>
      <c r="C885" s="21"/>
      <c r="D885" s="23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2.75" x14ac:dyDescent="0.2">
      <c r="A886" s="21"/>
      <c r="B886" s="21"/>
      <c r="C886" s="21"/>
      <c r="D886" s="23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2.75" x14ac:dyDescent="0.2">
      <c r="A887" s="21"/>
      <c r="B887" s="21"/>
      <c r="C887" s="21"/>
      <c r="D887" s="23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2.75" x14ac:dyDescent="0.2">
      <c r="A888" s="21"/>
      <c r="B888" s="21"/>
      <c r="C888" s="21"/>
      <c r="D888" s="23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2.75" x14ac:dyDescent="0.2">
      <c r="A889" s="21"/>
      <c r="B889" s="21"/>
      <c r="C889" s="21"/>
      <c r="D889" s="23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2.75" x14ac:dyDescent="0.2">
      <c r="A890" s="21"/>
      <c r="B890" s="21"/>
      <c r="C890" s="21"/>
      <c r="D890" s="23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2.75" x14ac:dyDescent="0.2">
      <c r="A891" s="21"/>
      <c r="B891" s="21"/>
      <c r="C891" s="21"/>
      <c r="D891" s="23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2.75" x14ac:dyDescent="0.2">
      <c r="A892" s="21"/>
      <c r="B892" s="21"/>
      <c r="C892" s="21"/>
      <c r="D892" s="23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2.75" x14ac:dyDescent="0.2">
      <c r="A893" s="21"/>
      <c r="B893" s="21"/>
      <c r="C893" s="21"/>
      <c r="D893" s="23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2.75" x14ac:dyDescent="0.2">
      <c r="A894" s="21"/>
      <c r="B894" s="21"/>
      <c r="C894" s="21"/>
      <c r="D894" s="23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2.75" x14ac:dyDescent="0.2">
      <c r="A895" s="21"/>
      <c r="B895" s="21"/>
      <c r="C895" s="21"/>
      <c r="D895" s="23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2.75" x14ac:dyDescent="0.2">
      <c r="A896" s="21"/>
      <c r="B896" s="21"/>
      <c r="C896" s="21"/>
      <c r="D896" s="23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2.75" x14ac:dyDescent="0.2">
      <c r="A897" s="21"/>
      <c r="B897" s="21"/>
      <c r="C897" s="21"/>
      <c r="D897" s="23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2.75" x14ac:dyDescent="0.2">
      <c r="A898" s="21"/>
      <c r="B898" s="21"/>
      <c r="C898" s="21"/>
      <c r="D898" s="23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2.75" x14ac:dyDescent="0.2">
      <c r="A899" s="21"/>
      <c r="B899" s="21"/>
      <c r="C899" s="21"/>
      <c r="D899" s="23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2.75" x14ac:dyDescent="0.2">
      <c r="A900" s="21"/>
      <c r="B900" s="21"/>
      <c r="C900" s="21"/>
      <c r="D900" s="23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2.75" x14ac:dyDescent="0.2">
      <c r="A901" s="21"/>
      <c r="B901" s="21"/>
      <c r="C901" s="21"/>
      <c r="D901" s="23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2.75" x14ac:dyDescent="0.2">
      <c r="A902" s="21"/>
      <c r="B902" s="21"/>
      <c r="C902" s="21"/>
      <c r="D902" s="23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2.75" x14ac:dyDescent="0.2">
      <c r="A903" s="21"/>
      <c r="B903" s="21"/>
      <c r="C903" s="21"/>
      <c r="D903" s="23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2.75" x14ac:dyDescent="0.2">
      <c r="A904" s="21"/>
      <c r="B904" s="21"/>
      <c r="C904" s="21"/>
      <c r="D904" s="23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2.75" x14ac:dyDescent="0.2">
      <c r="A905" s="21"/>
      <c r="B905" s="21"/>
      <c r="C905" s="21"/>
      <c r="D905" s="23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2.75" x14ac:dyDescent="0.2">
      <c r="A906" s="21"/>
      <c r="B906" s="21"/>
      <c r="C906" s="21"/>
      <c r="D906" s="23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2.75" x14ac:dyDescent="0.2">
      <c r="A907" s="21"/>
      <c r="B907" s="21"/>
      <c r="C907" s="21"/>
      <c r="D907" s="23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2.75" x14ac:dyDescent="0.2">
      <c r="A908" s="21"/>
      <c r="B908" s="21"/>
      <c r="C908" s="21"/>
      <c r="D908" s="23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2.75" x14ac:dyDescent="0.2">
      <c r="A909" s="21"/>
      <c r="B909" s="21"/>
      <c r="C909" s="21"/>
      <c r="D909" s="23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2.75" x14ac:dyDescent="0.2">
      <c r="A910" s="21"/>
      <c r="B910" s="21"/>
      <c r="C910" s="21"/>
      <c r="D910" s="23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2.75" x14ac:dyDescent="0.2">
      <c r="A911" s="21"/>
      <c r="B911" s="21"/>
      <c r="C911" s="21"/>
      <c r="D911" s="23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2.75" x14ac:dyDescent="0.2">
      <c r="A912" s="21"/>
      <c r="B912" s="21"/>
      <c r="C912" s="21"/>
      <c r="D912" s="23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2.75" x14ac:dyDescent="0.2">
      <c r="A913" s="21"/>
      <c r="B913" s="21"/>
      <c r="C913" s="21"/>
      <c r="D913" s="23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2.75" x14ac:dyDescent="0.2">
      <c r="A914" s="21"/>
      <c r="B914" s="21"/>
      <c r="C914" s="21"/>
      <c r="D914" s="23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2.75" x14ac:dyDescent="0.2">
      <c r="A915" s="21"/>
      <c r="B915" s="21"/>
      <c r="C915" s="21"/>
      <c r="D915" s="23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2.75" x14ac:dyDescent="0.2">
      <c r="A916" s="21"/>
      <c r="B916" s="21"/>
      <c r="C916" s="21"/>
      <c r="D916" s="23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2.75" x14ac:dyDescent="0.2">
      <c r="A917" s="21"/>
      <c r="B917" s="21"/>
      <c r="C917" s="21"/>
      <c r="D917" s="23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2.75" x14ac:dyDescent="0.2">
      <c r="A918" s="21"/>
      <c r="B918" s="21"/>
      <c r="C918" s="21"/>
      <c r="D918" s="23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2.75" x14ac:dyDescent="0.2">
      <c r="A919" s="21"/>
      <c r="B919" s="21"/>
      <c r="C919" s="21"/>
      <c r="D919" s="23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2.75" x14ac:dyDescent="0.2">
      <c r="A920" s="21"/>
      <c r="B920" s="21"/>
      <c r="C920" s="21"/>
      <c r="D920" s="23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2.75" x14ac:dyDescent="0.2">
      <c r="A921" s="21"/>
      <c r="B921" s="21"/>
      <c r="C921" s="21"/>
      <c r="D921" s="23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2.75" x14ac:dyDescent="0.2">
      <c r="A922" s="21"/>
      <c r="B922" s="21"/>
      <c r="C922" s="21"/>
      <c r="D922" s="23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2.75" x14ac:dyDescent="0.2">
      <c r="A923" s="21"/>
      <c r="B923" s="21"/>
      <c r="C923" s="21"/>
      <c r="D923" s="23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2.75" x14ac:dyDescent="0.2">
      <c r="A924" s="21"/>
      <c r="B924" s="21"/>
      <c r="C924" s="21"/>
      <c r="D924" s="23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2.75" x14ac:dyDescent="0.2">
      <c r="A925" s="21"/>
      <c r="B925" s="21"/>
      <c r="C925" s="21"/>
      <c r="D925" s="23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2.75" x14ac:dyDescent="0.2">
      <c r="A926" s="21"/>
      <c r="B926" s="21"/>
      <c r="C926" s="21"/>
      <c r="D926" s="23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2.75" x14ac:dyDescent="0.2">
      <c r="A927" s="21"/>
      <c r="B927" s="21"/>
      <c r="C927" s="21"/>
      <c r="D927" s="23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2.75" x14ac:dyDescent="0.2">
      <c r="A928" s="21"/>
      <c r="B928" s="21"/>
      <c r="C928" s="21"/>
      <c r="D928" s="23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2.75" x14ac:dyDescent="0.2">
      <c r="A929" s="21"/>
      <c r="B929" s="21"/>
      <c r="C929" s="21"/>
      <c r="D929" s="23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2.75" x14ac:dyDescent="0.2">
      <c r="A930" s="21"/>
      <c r="B930" s="21"/>
      <c r="C930" s="21"/>
      <c r="D930" s="23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2.75" x14ac:dyDescent="0.2">
      <c r="A931" s="21"/>
      <c r="B931" s="21"/>
      <c r="C931" s="21"/>
      <c r="D931" s="23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2.75" x14ac:dyDescent="0.2">
      <c r="A932" s="21"/>
      <c r="B932" s="21"/>
      <c r="C932" s="21"/>
      <c r="D932" s="23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2.75" x14ac:dyDescent="0.2">
      <c r="A933" s="21"/>
      <c r="B933" s="21"/>
      <c r="C933" s="21"/>
      <c r="D933" s="23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2.75" x14ac:dyDescent="0.2">
      <c r="A934" s="21"/>
      <c r="B934" s="21"/>
      <c r="C934" s="21"/>
      <c r="D934" s="23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2.75" x14ac:dyDescent="0.2">
      <c r="A935" s="21"/>
      <c r="B935" s="21"/>
      <c r="C935" s="21"/>
      <c r="D935" s="23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2.75" x14ac:dyDescent="0.2">
      <c r="A936" s="21"/>
      <c r="B936" s="21"/>
      <c r="C936" s="21"/>
      <c r="D936" s="23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2.75" x14ac:dyDescent="0.2">
      <c r="A937" s="21"/>
      <c r="B937" s="21"/>
      <c r="C937" s="21"/>
      <c r="D937" s="23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2.75" x14ac:dyDescent="0.2">
      <c r="A938" s="21"/>
      <c r="B938" s="21"/>
      <c r="C938" s="21"/>
      <c r="D938" s="23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2.75" x14ac:dyDescent="0.2">
      <c r="A939" s="21"/>
      <c r="B939" s="21"/>
      <c r="C939" s="21"/>
      <c r="D939" s="23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2.75" x14ac:dyDescent="0.2">
      <c r="A940" s="21"/>
      <c r="B940" s="21"/>
      <c r="C940" s="21"/>
      <c r="D940" s="23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2.75" x14ac:dyDescent="0.2">
      <c r="A941" s="21"/>
      <c r="B941" s="21"/>
      <c r="C941" s="21"/>
      <c r="D941" s="23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2.75" x14ac:dyDescent="0.2">
      <c r="A942" s="21"/>
      <c r="B942" s="21"/>
      <c r="C942" s="21"/>
      <c r="D942" s="23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2.75" x14ac:dyDescent="0.2">
      <c r="A943" s="21"/>
      <c r="B943" s="21"/>
      <c r="C943" s="21"/>
      <c r="D943" s="23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2.75" x14ac:dyDescent="0.2">
      <c r="A944" s="21"/>
      <c r="B944" s="21"/>
      <c r="C944" s="21"/>
      <c r="D944" s="23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2.75" x14ac:dyDescent="0.2">
      <c r="A945" s="21"/>
      <c r="B945" s="21"/>
      <c r="C945" s="21"/>
      <c r="D945" s="23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2.75" x14ac:dyDescent="0.2">
      <c r="A946" s="21"/>
      <c r="B946" s="21"/>
      <c r="C946" s="21"/>
      <c r="D946" s="23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2.75" x14ac:dyDescent="0.2">
      <c r="A947" s="21"/>
      <c r="B947" s="21"/>
      <c r="C947" s="21"/>
      <c r="D947" s="23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2.75" x14ac:dyDescent="0.2">
      <c r="A948" s="21"/>
      <c r="B948" s="21"/>
      <c r="C948" s="21"/>
      <c r="D948" s="23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2.75" x14ac:dyDescent="0.2">
      <c r="A949" s="21"/>
      <c r="B949" s="21"/>
      <c r="C949" s="21"/>
      <c r="D949" s="23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2.75" x14ac:dyDescent="0.2">
      <c r="A950" s="21"/>
      <c r="B950" s="21"/>
      <c r="C950" s="21"/>
      <c r="D950" s="23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2.75" x14ac:dyDescent="0.2">
      <c r="A951" s="21"/>
      <c r="B951" s="21"/>
      <c r="C951" s="21"/>
      <c r="D951" s="23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2.75" x14ac:dyDescent="0.2">
      <c r="A952" s="21"/>
      <c r="B952" s="21"/>
      <c r="C952" s="21"/>
      <c r="D952" s="23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2.75" x14ac:dyDescent="0.2">
      <c r="A953" s="21"/>
      <c r="B953" s="21"/>
      <c r="C953" s="21"/>
      <c r="D953" s="23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2.75" x14ac:dyDescent="0.2">
      <c r="A954" s="21"/>
      <c r="B954" s="21"/>
      <c r="C954" s="21"/>
      <c r="D954" s="23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2.75" x14ac:dyDescent="0.2">
      <c r="A955" s="21"/>
      <c r="B955" s="21"/>
      <c r="C955" s="21"/>
      <c r="D955" s="23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2.75" x14ac:dyDescent="0.2">
      <c r="A956" s="21"/>
      <c r="B956" s="21"/>
      <c r="C956" s="21"/>
      <c r="D956" s="23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2.75" x14ac:dyDescent="0.2">
      <c r="A957" s="21"/>
      <c r="B957" s="21"/>
      <c r="C957" s="21"/>
      <c r="D957" s="23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2.75" x14ac:dyDescent="0.2">
      <c r="A958" s="21"/>
      <c r="B958" s="21"/>
      <c r="C958" s="21"/>
      <c r="D958" s="23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2.75" x14ac:dyDescent="0.2">
      <c r="A959" s="21"/>
      <c r="B959" s="21"/>
      <c r="C959" s="21"/>
      <c r="D959" s="23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2.75" x14ac:dyDescent="0.2">
      <c r="A960" s="21"/>
      <c r="B960" s="21"/>
      <c r="C960" s="21"/>
      <c r="D960" s="23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2.75" x14ac:dyDescent="0.2">
      <c r="A961" s="21"/>
      <c r="B961" s="21"/>
      <c r="C961" s="21"/>
      <c r="D961" s="23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2.75" x14ac:dyDescent="0.2">
      <c r="A962" s="21"/>
      <c r="B962" s="21"/>
      <c r="C962" s="21"/>
      <c r="D962" s="23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2.75" x14ac:dyDescent="0.2">
      <c r="A963" s="21"/>
      <c r="B963" s="21"/>
      <c r="C963" s="21"/>
      <c r="D963" s="23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2.75" x14ac:dyDescent="0.2">
      <c r="A964" s="21"/>
      <c r="B964" s="21"/>
      <c r="C964" s="21"/>
      <c r="D964" s="23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2.75" x14ac:dyDescent="0.2">
      <c r="A965" s="21"/>
      <c r="B965" s="21"/>
      <c r="C965" s="21"/>
      <c r="D965" s="23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2.75" x14ac:dyDescent="0.2">
      <c r="A966" s="21"/>
      <c r="B966" s="21"/>
      <c r="C966" s="21"/>
      <c r="D966" s="23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2.75" x14ac:dyDescent="0.2">
      <c r="A967" s="21"/>
      <c r="B967" s="21"/>
      <c r="C967" s="21"/>
      <c r="D967" s="23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2.75" x14ac:dyDescent="0.2">
      <c r="A968" s="21"/>
      <c r="B968" s="21"/>
      <c r="C968" s="21"/>
      <c r="D968" s="23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2.75" x14ac:dyDescent="0.2">
      <c r="A969" s="21"/>
      <c r="B969" s="21"/>
      <c r="C969" s="21"/>
      <c r="D969" s="23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2.75" x14ac:dyDescent="0.2">
      <c r="A970" s="21"/>
      <c r="B970" s="21"/>
      <c r="C970" s="21"/>
      <c r="D970" s="23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2.75" x14ac:dyDescent="0.2">
      <c r="A971" s="21"/>
      <c r="B971" s="21"/>
      <c r="C971" s="21"/>
      <c r="D971" s="23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2.75" x14ac:dyDescent="0.2">
      <c r="A972" s="21"/>
      <c r="B972" s="21"/>
      <c r="C972" s="21"/>
      <c r="D972" s="23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2.75" x14ac:dyDescent="0.2">
      <c r="A973" s="21"/>
      <c r="B973" s="21"/>
      <c r="C973" s="21"/>
      <c r="D973" s="23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2.75" x14ac:dyDescent="0.2">
      <c r="A974" s="21"/>
      <c r="B974" s="21"/>
      <c r="C974" s="21"/>
      <c r="D974" s="23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2.75" x14ac:dyDescent="0.2">
      <c r="A975" s="21"/>
      <c r="B975" s="21"/>
      <c r="C975" s="21"/>
      <c r="D975" s="23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2.75" x14ac:dyDescent="0.2">
      <c r="A976" s="21"/>
      <c r="B976" s="21"/>
      <c r="C976" s="21"/>
      <c r="D976" s="23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2.75" x14ac:dyDescent="0.2">
      <c r="A977" s="21"/>
      <c r="B977" s="21"/>
      <c r="C977" s="21"/>
      <c r="D977" s="23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2.75" x14ac:dyDescent="0.2">
      <c r="A978" s="21"/>
      <c r="B978" s="21"/>
      <c r="C978" s="21"/>
      <c r="D978" s="23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2.75" x14ac:dyDescent="0.2">
      <c r="A979" s="21"/>
      <c r="B979" s="21"/>
      <c r="C979" s="21"/>
      <c r="D979" s="23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2.75" x14ac:dyDescent="0.2">
      <c r="A980" s="21"/>
      <c r="B980" s="21"/>
      <c r="C980" s="21"/>
      <c r="D980" s="23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2.75" x14ac:dyDescent="0.2">
      <c r="A981" s="21"/>
      <c r="B981" s="21"/>
      <c r="C981" s="21"/>
      <c r="D981" s="23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2.75" x14ac:dyDescent="0.2">
      <c r="A982" s="21"/>
      <c r="B982" s="21"/>
      <c r="C982" s="21"/>
      <c r="D982" s="23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2.75" x14ac:dyDescent="0.2">
      <c r="A983" s="21"/>
      <c r="B983" s="21"/>
      <c r="C983" s="21"/>
      <c r="D983" s="23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2.75" x14ac:dyDescent="0.2">
      <c r="A984" s="21"/>
      <c r="B984" s="21"/>
      <c r="C984" s="21"/>
      <c r="D984" s="23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2.75" x14ac:dyDescent="0.2">
      <c r="A985" s="21"/>
      <c r="B985" s="21"/>
      <c r="C985" s="21"/>
      <c r="D985" s="23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2.75" x14ac:dyDescent="0.2">
      <c r="A986" s="21"/>
      <c r="B986" s="21"/>
      <c r="C986" s="21"/>
      <c r="D986" s="23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2.75" x14ac:dyDescent="0.2">
      <c r="A987" s="21"/>
      <c r="B987" s="21"/>
      <c r="C987" s="21"/>
      <c r="D987" s="23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2.75" x14ac:dyDescent="0.2">
      <c r="A988" s="21"/>
      <c r="B988" s="21"/>
      <c r="C988" s="21"/>
      <c r="D988" s="23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2.75" x14ac:dyDescent="0.2">
      <c r="A989" s="21"/>
      <c r="B989" s="21"/>
      <c r="C989" s="21"/>
      <c r="D989" s="23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2.75" x14ac:dyDescent="0.2">
      <c r="A990" s="21"/>
      <c r="B990" s="21"/>
      <c r="C990" s="21"/>
      <c r="D990" s="23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2.75" x14ac:dyDescent="0.2">
      <c r="A991" s="21"/>
      <c r="B991" s="21"/>
      <c r="C991" s="21"/>
      <c r="D991" s="23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2.75" x14ac:dyDescent="0.2">
      <c r="A992" s="21"/>
      <c r="B992" s="21"/>
      <c r="C992" s="21"/>
      <c r="D992" s="23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2.75" x14ac:dyDescent="0.2">
      <c r="A993" s="21"/>
      <c r="B993" s="21"/>
      <c r="C993" s="21"/>
      <c r="D993" s="23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2.75" x14ac:dyDescent="0.2">
      <c r="A994" s="21"/>
      <c r="B994" s="21"/>
      <c r="C994" s="21"/>
      <c r="D994" s="23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2.75" x14ac:dyDescent="0.2">
      <c r="A995" s="21"/>
      <c r="B995" s="21"/>
      <c r="C995" s="21"/>
      <c r="D995" s="23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2.75" x14ac:dyDescent="0.2">
      <c r="A996" s="21"/>
      <c r="B996" s="21"/>
      <c r="C996" s="21"/>
      <c r="D996" s="23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2.75" x14ac:dyDescent="0.2">
      <c r="A997" s="21"/>
      <c r="B997" s="21"/>
      <c r="C997" s="21"/>
      <c r="D997" s="23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2.75" x14ac:dyDescent="0.2">
      <c r="A998" s="21"/>
      <c r="B998" s="21"/>
      <c r="C998" s="21"/>
      <c r="D998" s="23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2.75" x14ac:dyDescent="0.2">
      <c r="A999" s="21"/>
      <c r="B999" s="21"/>
      <c r="C999" s="21"/>
      <c r="D999" s="23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2.75" x14ac:dyDescent="0.2">
      <c r="A1000" s="21"/>
      <c r="B1000" s="21"/>
      <c r="C1000" s="21"/>
      <c r="D1000" s="23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</sheetData>
  <dataValidations count="1">
    <dataValidation type="list" allowBlank="1" showErrorMessage="1" sqref="J2:K10" xr:uid="{00000000-0002-0000-0200-000000000000}">
      <formula1>"Yes,No"</formula1>
    </dataValidation>
  </dataValidations>
  <hyperlinks>
    <hyperlink ref="C3" r:id="rId1" xr:uid="{00000000-0004-0000-0200-000000000000}"/>
    <hyperlink ref="C7" r:id="rId2" xr:uid="{00000000-0004-0000-0200-000001000000}"/>
    <hyperlink ref="C8" r:id="rId3" xr:uid="{00000000-0004-0000-0200-000002000000}"/>
    <hyperlink ref="C9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0"/>
  <sheetViews>
    <sheetView workbookViewId="0"/>
  </sheetViews>
  <sheetFormatPr defaultColWidth="12.5703125" defaultRowHeight="15.75" customHeight="1" x14ac:dyDescent="0.2"/>
  <cols>
    <col min="1" max="1" width="30.28515625" customWidth="1"/>
    <col min="2" max="2" width="6.28515625" customWidth="1"/>
    <col min="3" max="3" width="26.85546875" customWidth="1"/>
    <col min="4" max="4" width="14.42578125" customWidth="1"/>
    <col min="5" max="5" width="9.85546875" customWidth="1"/>
    <col min="6" max="6" width="10.42578125" customWidth="1"/>
    <col min="7" max="7" width="10.7109375" customWidth="1"/>
    <col min="8" max="8" width="9.85546875" customWidth="1"/>
    <col min="9" max="9" width="45" customWidth="1"/>
    <col min="10" max="10" width="5" customWidth="1"/>
    <col min="11" max="11" width="4.28515625" customWidth="1"/>
    <col min="12" max="12" width="7.28515625" customWidth="1"/>
    <col min="13" max="14" width="17.7109375" customWidth="1"/>
  </cols>
  <sheetData>
    <row r="1" spans="1:30" ht="15.75" customHeight="1" x14ac:dyDescent="0.25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211</v>
      </c>
      <c r="J1" s="17" t="s">
        <v>9</v>
      </c>
      <c r="K1" s="17" t="s">
        <v>10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ht="15.75" customHeight="1" x14ac:dyDescent="0.25">
      <c r="A2" s="5" t="s">
        <v>328</v>
      </c>
      <c r="B2" s="7" t="str">
        <f t="shared" ref="B2:B14" si="0">UPPER(LEFT(A2, 3))</f>
        <v>PLA</v>
      </c>
      <c r="C2" s="7" t="s">
        <v>329</v>
      </c>
      <c r="D2" s="7" t="s">
        <v>330</v>
      </c>
      <c r="E2" s="7"/>
      <c r="F2" s="7" t="s">
        <v>331</v>
      </c>
      <c r="G2" s="7" t="s">
        <v>332</v>
      </c>
      <c r="H2" s="7" t="s">
        <v>333</v>
      </c>
      <c r="I2" s="7" t="s">
        <v>334</v>
      </c>
      <c r="J2" s="9" t="s">
        <v>25</v>
      </c>
      <c r="K2" s="9" t="s">
        <v>26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 customHeight="1" x14ac:dyDescent="0.25">
      <c r="A3" s="5" t="s">
        <v>335</v>
      </c>
      <c r="B3" s="7" t="str">
        <f t="shared" si="0"/>
        <v>AIR</v>
      </c>
      <c r="C3" s="7" t="s">
        <v>336</v>
      </c>
      <c r="D3" s="25" t="s">
        <v>337</v>
      </c>
      <c r="E3" s="7"/>
      <c r="F3" s="7" t="s">
        <v>338</v>
      </c>
      <c r="G3" s="7"/>
      <c r="H3" s="7"/>
      <c r="I3" s="7" t="s">
        <v>339</v>
      </c>
      <c r="J3" s="9" t="s">
        <v>25</v>
      </c>
      <c r="K3" s="9" t="s">
        <v>26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5.75" customHeight="1" x14ac:dyDescent="0.25">
      <c r="A4" s="5" t="s">
        <v>340</v>
      </c>
      <c r="B4" s="7" t="str">
        <f t="shared" si="0"/>
        <v>SEA</v>
      </c>
      <c r="C4" s="7" t="s">
        <v>341</v>
      </c>
      <c r="D4" s="7" t="s">
        <v>342</v>
      </c>
      <c r="E4" s="7"/>
      <c r="F4" s="7" t="s">
        <v>343</v>
      </c>
      <c r="G4" s="7" t="s">
        <v>344</v>
      </c>
      <c r="H4" s="7" t="s">
        <v>345</v>
      </c>
      <c r="I4" s="7"/>
      <c r="J4" s="9" t="s">
        <v>25</v>
      </c>
      <c r="K4" s="9" t="s">
        <v>26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5.75" customHeight="1" x14ac:dyDescent="0.25">
      <c r="A5" s="5" t="s">
        <v>346</v>
      </c>
      <c r="B5" s="7" t="str">
        <f t="shared" si="0"/>
        <v>WOR</v>
      </c>
      <c r="C5" s="7" t="s">
        <v>347</v>
      </c>
      <c r="D5" s="7" t="s">
        <v>348</v>
      </c>
      <c r="E5" s="7"/>
      <c r="F5" s="7" t="s">
        <v>349</v>
      </c>
      <c r="G5" s="7" t="s">
        <v>350</v>
      </c>
      <c r="H5" s="7" t="s">
        <v>351</v>
      </c>
      <c r="I5" s="26" t="s">
        <v>352</v>
      </c>
      <c r="J5" s="9" t="s">
        <v>25</v>
      </c>
      <c r="K5" s="9" t="s">
        <v>26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5.75" customHeight="1" x14ac:dyDescent="0.25">
      <c r="A6" s="5" t="s">
        <v>353</v>
      </c>
      <c r="B6" s="7" t="str">
        <f t="shared" si="0"/>
        <v>BLA</v>
      </c>
      <c r="C6" s="7" t="s">
        <v>354</v>
      </c>
      <c r="D6" s="25" t="s">
        <v>355</v>
      </c>
      <c r="E6" s="7" t="s">
        <v>242</v>
      </c>
      <c r="F6" s="7" t="s">
        <v>356</v>
      </c>
      <c r="G6" s="7" t="s">
        <v>357</v>
      </c>
      <c r="H6" s="26" t="s">
        <v>358</v>
      </c>
      <c r="I6" s="7" t="s">
        <v>359</v>
      </c>
      <c r="J6" s="9" t="s">
        <v>25</v>
      </c>
      <c r="K6" s="9" t="s">
        <v>26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5.75" customHeight="1" x14ac:dyDescent="0.25">
      <c r="A7" s="5" t="s">
        <v>360</v>
      </c>
      <c r="B7" s="7" t="str">
        <f t="shared" si="0"/>
        <v xml:space="preserve">GC </v>
      </c>
      <c r="C7" s="7" t="s">
        <v>361</v>
      </c>
      <c r="D7" s="7" t="s">
        <v>362</v>
      </c>
      <c r="E7" s="7"/>
      <c r="F7" s="7" t="s">
        <v>363</v>
      </c>
      <c r="G7" s="7" t="s">
        <v>364</v>
      </c>
      <c r="H7" s="26" t="s">
        <v>365</v>
      </c>
      <c r="I7" s="26" t="s">
        <v>366</v>
      </c>
      <c r="J7" s="9" t="s">
        <v>25</v>
      </c>
      <c r="K7" s="9" t="s">
        <v>26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5.75" customHeight="1" x14ac:dyDescent="0.25">
      <c r="A8" s="27"/>
      <c r="B8" s="20" t="str">
        <f t="shared" si="0"/>
        <v/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5.75" customHeight="1" x14ac:dyDescent="0.25">
      <c r="A9" s="27"/>
      <c r="B9" s="20" t="str">
        <f t="shared" si="0"/>
        <v/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15.75" customHeight="1" x14ac:dyDescent="0.25">
      <c r="A10" s="21"/>
      <c r="B10" s="20" t="str">
        <f t="shared" si="0"/>
        <v/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15.75" customHeight="1" x14ac:dyDescent="0.25">
      <c r="A11" s="21"/>
      <c r="B11" s="20" t="str">
        <f t="shared" si="0"/>
        <v/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15.75" customHeight="1" x14ac:dyDescent="0.25">
      <c r="A12" s="21"/>
      <c r="B12" s="20" t="str">
        <f t="shared" si="0"/>
        <v/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5.75" customHeight="1" x14ac:dyDescent="0.25">
      <c r="A13" s="21"/>
      <c r="B13" s="20" t="str">
        <f t="shared" si="0"/>
        <v/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5.75" customHeight="1" x14ac:dyDescent="0.25">
      <c r="A14" s="21"/>
      <c r="B14" s="20" t="str">
        <f t="shared" si="0"/>
        <v/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2.75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2.75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2.75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2.75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2.75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2.75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2.75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2.75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2.75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2.75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2.75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12.75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2.75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2.75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12.75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12.75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12.75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12.75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12.75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12.75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12.75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12.75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12.75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12.75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12.75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12.75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2.75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2.75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2.75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12.75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12.75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12.75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12.75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12.75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2.75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2.75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2.75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2.75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2.75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2.75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2.75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12.75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2.75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12.75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12.75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12.75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2.75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12.75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12.75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12.75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12.75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12.75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12.75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12.75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12.75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12.75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2.75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12.75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12.75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12.75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12.75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12.75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12.75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12.75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12.75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12.75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12.75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12.75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2.75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2.75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12.75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2.75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12.75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12.75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12.75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12.75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12.75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12.75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12.75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12.75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12.75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12.75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12.75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12.75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12.75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12.75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12.75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12.75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12.75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12.75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12.75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12.75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12.75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12.75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12.75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12.75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12.75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12.75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12.75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12.75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12.75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12.75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12.75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12.75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12.75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12.75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12.75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12.75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12.75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12.75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12.75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12.75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12.75" x14ac:dyDescent="0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12.75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12.75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12.75" x14ac:dyDescent="0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12.75" x14ac:dyDescent="0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12.75" x14ac:dyDescent="0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12.75" x14ac:dyDescent="0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12.75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12.75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12.75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12.75" x14ac:dyDescent="0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12.75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12.75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12.75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12.75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12.75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12.75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12.75" x14ac:dyDescent="0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12.75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12.75" x14ac:dyDescent="0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12.75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12.75" x14ac:dyDescent="0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12.75" x14ac:dyDescent="0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12.75" x14ac:dyDescent="0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12.75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12.75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12.75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12.75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12.75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12.75" x14ac:dyDescent="0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12.75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2.75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12.75" x14ac:dyDescent="0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12.75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12.75" x14ac:dyDescent="0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12.75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12.75" x14ac:dyDescent="0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12.75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12.75" x14ac:dyDescent="0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12.75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2.75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12.75" x14ac:dyDescent="0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12.75" x14ac:dyDescent="0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12.75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12.75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2.75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2.75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12.75" x14ac:dyDescent="0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12.75" x14ac:dyDescent="0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2.75" x14ac:dyDescent="0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2.75" x14ac:dyDescent="0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2.75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2.75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2.75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2.75" x14ac:dyDescent="0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2.75" x14ac:dyDescent="0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2.75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2.75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2.75" x14ac:dyDescent="0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2.75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2.75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2.75" x14ac:dyDescent="0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2.75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2.75" x14ac:dyDescent="0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2.75" x14ac:dyDescent="0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2.75" x14ac:dyDescent="0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2.75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2.75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2.75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2.75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2.75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2.75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2.75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2.75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2.75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2.75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2.75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2.75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2.75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2.75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2.75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2.75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2.75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2.75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2.75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2.75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2.75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2.75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2.75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2.75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2.75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2.75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2.75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2.75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2.75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2.75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2.75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2.75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2.75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2.75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2.75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2.75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2.75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2.75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2.75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2.75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2.75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2.75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2.75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2.75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2.75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2.75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2.75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2.75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2.75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2.75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2.75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2.75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2.75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2.75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2.75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2.75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2.75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2.75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2.75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2.75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2.75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2.75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2.75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2.75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2.75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2.75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2.75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2.75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2.75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2.75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2.75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2.75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2.75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2.75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2.75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2.75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2.75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2.75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2.75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2.75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2.75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2.75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2.75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2.75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2.75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2.75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2.75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2.75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2.75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2.75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2.75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2.75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2.75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2.75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2.75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2.75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2.75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2.75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2.75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2.75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2.75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2.75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2.75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2.75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2.75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2.75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2.75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2.75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2.75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2.75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2.75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2.75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2.75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2.75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2.75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2.75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2.75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2.75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2.75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2.75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2.75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2.75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2.75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2.75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2.75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2.75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2.75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2.75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2.75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2.75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2.75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2.75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2.75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2.75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2.75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2.75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2.75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2.75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2.75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2.75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2.75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2.75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2.75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2.75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2.75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2.75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2.75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2.75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2.75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2.75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2.75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2.75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2.75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2.75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2.75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2.75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2.75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2.75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2.75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2.75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2.75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2.75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2.75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2.75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2.75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2.75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2.75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2.75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2.75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2.75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2.75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2.75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2.75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2.75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2.75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2.75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2.75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2.75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2.75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2.75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2.75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2.75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2.75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2.75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2.75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2.75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2.75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2.75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2.75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2.75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2.75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2.75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2.75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2.75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2.75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2.75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2.75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2.75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2.75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2.75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2.75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2.75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2.75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2.75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2.75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2.75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2.75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2.75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2.75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2.75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2.75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2.75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2.75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2.75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2.75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2.75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2.75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2.75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2.75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2.75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2.75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2.75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2.75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2.75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2.75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2.75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2.75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2.75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2.75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2.75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2.75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2.75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2.75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2.75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2.75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2.75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2.75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2.75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2.75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2.75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2.75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2.75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2.75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2.75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2.75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2.75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2.75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2.75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2.75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2.75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2.75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2.75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2.75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2.75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2.75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2.75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2.75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2.75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2.75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2.75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2.75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2.75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2.75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2.75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2.75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2.75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2.75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2.75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2.75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2.75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2.75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2.75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2.75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2.75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2.75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2.75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2.75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2.75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2.75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2.75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2.75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2.75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2.75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2.75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2.75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2.75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2.75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2.75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2.75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2.75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2.75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2.75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2.75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2.75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2.75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2.75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2.75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2.75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2.75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2.75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2.75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2.75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2.75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2.75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2.75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2.75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2.75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2.75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2.75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2.75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2.75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2.75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2.75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2.75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2.75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2.75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2.75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2.75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2.75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2.75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2.75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2.75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2.75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2.75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2.75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2.75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2.75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2.75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2.75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2.75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2.75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2.75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2.75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2.75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2.75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2.75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2.75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2.75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2.75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2.75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2.75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2.75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2.75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2.75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2.75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2.75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2.75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2.75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2.75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2.75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2.75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2.75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2.75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2.75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2.75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2.75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2.75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2.75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2.75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2.75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2.75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2.75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2.75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2.75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2.75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2.75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2.75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2.75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2.75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2.75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2.75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2.75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2.75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2.75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2.75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2.75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2.75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2.75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2.75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2.75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2.75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2.75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2.75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2.75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2.75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2.75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2.75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2.75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2.75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2.75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2.75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2.75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2.75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2.75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2.75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2.75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2.75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2.75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2.75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2.75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2.75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2.75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2.75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2.75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2.75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2.75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2.75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2.75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2.75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2.75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2.75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2.75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2.75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2.75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2.75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2.75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2.75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2.75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2.75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2.75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2.75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2.75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2.75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2.75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2.75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2.75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2.75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2.75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2.75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2.75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2.75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2.75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2.75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2.75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2.75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2.75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2.75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2.75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2.75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2.75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2.75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2.75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2.75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2.75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2.75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2.75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2.75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2.75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2.75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2.75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2.75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2.75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2.75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2.75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2.75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2.75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2.75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2.75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2.75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2.75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2.75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2.75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2.75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2.75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2.75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2.75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2.75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2.75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2.75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2.75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2.75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2.75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2.75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2.75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2.75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2.75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2.75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2.75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2.75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2.75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2.75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2.75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2.75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2.75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2.75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2.75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2.75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2.75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2.75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2.75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2.75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2.75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2.75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2.75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2.75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2.75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2.75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2.75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2.75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2.75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2.75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2.75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2.75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2.75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2.75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2.75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2.75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2.75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2.75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2.75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2.75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2.75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2.75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2.75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2.75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2.75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2.75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2.75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2.75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2.75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2.75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2.75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2.75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2.75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2.75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2.75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2.75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2.75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2.75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2.75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2.75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2.75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2.75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2.75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2.75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2.75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2.75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2.75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2.75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2.75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2.75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2.75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2.75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2.75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2.75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2.75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2.75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2.75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2.75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2.75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2.75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2.75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2.75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2.75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2.75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2.75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2.75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2.75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2.75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2.75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2.75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2.75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2.75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2.75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2.75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2.75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2.75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2.75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2.75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2.75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2.75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2.75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2.75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2.75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2.75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2.75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2.75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2.75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2.75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2.75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2.75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2.75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2.75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2.75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2.75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2.75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2.75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2.75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2.75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2.75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2.75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2.75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2.75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2.75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2.75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2.75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2.75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2.75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2.75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2.75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2.75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2.75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2.75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2.75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2.75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2.75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2.75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2.75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2.75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2.75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2.75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2.75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2.75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2.75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2.75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2.75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2.75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2.75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2.75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2.75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2.75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2.75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2.75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2.75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2.75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2.75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2.75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2.75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2.75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2.75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2.75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2.75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2.75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2.75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2.75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2.75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2.75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2.75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2.75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2.75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2.75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2.75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2.75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2.75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2.75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2.75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2.75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2.75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2.75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2.75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2.75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2.75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2.75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2.75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2.75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2.75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2.75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2.75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2.75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2.75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2.75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2.75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2.75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2.75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2.75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2.75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2.75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2.75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2.75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2.75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2.75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2.75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2.75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2.75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2.75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2.75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2.75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2.75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2.75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2.75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2.75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2.75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2.75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2.75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2.75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2.75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2.75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2.75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2.75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2.75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2.75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2.75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2.75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2.75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2.75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2.75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2.75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2.75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2.75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2.75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2.75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2.75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2.75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2.75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2.75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2.75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2.75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2.75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2.75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2.75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2.75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2.75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2.75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2.75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2.75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2.75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2.75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2.75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2.75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2.75" x14ac:dyDescent="0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2.75" x14ac:dyDescent="0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2.75" x14ac:dyDescent="0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2.75" x14ac:dyDescent="0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2.75" x14ac:dyDescent="0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2.75" x14ac:dyDescent="0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2.75" x14ac:dyDescent="0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2.75" x14ac:dyDescent="0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2.75" x14ac:dyDescent="0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2.75" x14ac:dyDescent="0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2.75" x14ac:dyDescent="0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2.75" x14ac:dyDescent="0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2.75" x14ac:dyDescent="0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2.75" x14ac:dyDescent="0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2.75" x14ac:dyDescent="0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2.75" x14ac:dyDescent="0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2.75" x14ac:dyDescent="0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2.75" x14ac:dyDescent="0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2.75" x14ac:dyDescent="0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2.75" x14ac:dyDescent="0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2.75" x14ac:dyDescent="0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2.75" x14ac:dyDescent="0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2.75" x14ac:dyDescent="0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2.75" x14ac:dyDescent="0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2.75" x14ac:dyDescent="0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2.75" x14ac:dyDescent="0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2.75" x14ac:dyDescent="0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2.75" x14ac:dyDescent="0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2.75" x14ac:dyDescent="0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2.75" x14ac:dyDescent="0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2.75" x14ac:dyDescent="0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2.75" x14ac:dyDescent="0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2.75" x14ac:dyDescent="0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2.75" x14ac:dyDescent="0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2.75" x14ac:dyDescent="0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2.75" x14ac:dyDescent="0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2.75" x14ac:dyDescent="0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2.75" x14ac:dyDescent="0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2.75" x14ac:dyDescent="0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2.75" x14ac:dyDescent="0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2.75" x14ac:dyDescent="0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2.75" x14ac:dyDescent="0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2.75" x14ac:dyDescent="0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2.75" x14ac:dyDescent="0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2.75" x14ac:dyDescent="0.2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2.75" x14ac:dyDescent="0.2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2.75" x14ac:dyDescent="0.2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2.75" x14ac:dyDescent="0.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2.75" x14ac:dyDescent="0.2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2.75" x14ac:dyDescent="0.2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2.75" x14ac:dyDescent="0.2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2.75" x14ac:dyDescent="0.2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2.75" x14ac:dyDescent="0.2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2.75" x14ac:dyDescent="0.2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2.75" x14ac:dyDescent="0.2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2.75" x14ac:dyDescent="0.2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2.75" x14ac:dyDescent="0.2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2.75" x14ac:dyDescent="0.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2.75" x14ac:dyDescent="0.2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2.75" x14ac:dyDescent="0.2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2.75" x14ac:dyDescent="0.2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2.75" x14ac:dyDescent="0.2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2.75" x14ac:dyDescent="0.2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2.75" x14ac:dyDescent="0.2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2.75" x14ac:dyDescent="0.2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2.75" x14ac:dyDescent="0.2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</sheetData>
  <dataValidations count="1">
    <dataValidation type="list" allowBlank="1" showErrorMessage="1" sqref="J2:K7" xr:uid="{00000000-0002-0000-0300-000000000000}">
      <formula1>"Yes,No"</formula1>
    </dataValidation>
  </dataValidations>
  <hyperlinks>
    <hyperlink ref="C2" r:id="rId1" xr:uid="{00000000-0004-0000-0300-000000000000}"/>
    <hyperlink ref="C4" r:id="rId2" xr:uid="{00000000-0004-0000-0300-000001000000}"/>
    <hyperlink ref="C5" r:id="rId3" xr:uid="{00000000-0004-0000-0300-000002000000}"/>
    <hyperlink ref="C6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07"/>
  <sheetViews>
    <sheetView workbookViewId="0"/>
  </sheetViews>
  <sheetFormatPr defaultColWidth="12.5703125" defaultRowHeight="15.75" customHeight="1" x14ac:dyDescent="0.2"/>
  <cols>
    <col min="1" max="1" width="28.5703125" customWidth="1"/>
    <col min="2" max="2" width="6.28515625" customWidth="1"/>
    <col min="3" max="3" width="32.85546875" customWidth="1"/>
    <col min="4" max="4" width="19" customWidth="1"/>
    <col min="5" max="5" width="9.85546875" customWidth="1"/>
    <col min="6" max="6" width="10.85546875" customWidth="1"/>
    <col min="7" max="7" width="9.28515625" customWidth="1"/>
    <col min="8" max="8" width="8.7109375" customWidth="1"/>
    <col min="9" max="9" width="30.7109375" customWidth="1"/>
    <col min="10" max="10" width="6.42578125" customWidth="1"/>
    <col min="11" max="11" width="7.28515625" customWidth="1"/>
  </cols>
  <sheetData>
    <row r="1" spans="1:30" ht="15.75" customHeight="1" x14ac:dyDescent="0.25">
      <c r="A1" s="28" t="s">
        <v>0</v>
      </c>
      <c r="B1" s="28" t="s">
        <v>1</v>
      </c>
      <c r="C1" s="28" t="s">
        <v>2</v>
      </c>
      <c r="D1" s="29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16</v>
      </c>
      <c r="Q1" s="28" t="s">
        <v>17</v>
      </c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ht="15.75" customHeight="1" x14ac:dyDescent="0.25">
      <c r="A2" s="5" t="s">
        <v>367</v>
      </c>
      <c r="B2" s="5" t="str">
        <f t="shared" ref="B2:B4" si="0">UPPER(LEFT(A2, 3))</f>
        <v>SEA</v>
      </c>
      <c r="C2" s="5" t="s">
        <v>368</v>
      </c>
      <c r="D2" s="5" t="s">
        <v>369</v>
      </c>
      <c r="E2" s="5"/>
      <c r="F2" s="5" t="s">
        <v>370</v>
      </c>
      <c r="G2" s="5" t="s">
        <v>371</v>
      </c>
      <c r="H2" s="5" t="s">
        <v>372</v>
      </c>
      <c r="I2" s="5" t="s">
        <v>373</v>
      </c>
      <c r="J2" s="31" t="s">
        <v>25</v>
      </c>
      <c r="K2" s="31" t="s">
        <v>26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 t="s">
        <v>374</v>
      </c>
      <c r="B3" s="5" t="str">
        <f t="shared" si="0"/>
        <v>CGA</v>
      </c>
      <c r="C3" s="5" t="s">
        <v>375</v>
      </c>
      <c r="D3" s="5" t="s">
        <v>376</v>
      </c>
      <c r="E3" s="5"/>
      <c r="F3" s="5" t="s">
        <v>377</v>
      </c>
      <c r="G3" s="5"/>
      <c r="H3" s="5" t="s">
        <v>372</v>
      </c>
      <c r="I3" s="5" t="s">
        <v>378</v>
      </c>
      <c r="J3" s="31" t="s">
        <v>25</v>
      </c>
      <c r="K3" s="31" t="s">
        <v>26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5.75" customHeight="1" x14ac:dyDescent="0.25">
      <c r="A4" s="5" t="s">
        <v>379</v>
      </c>
      <c r="B4" s="5" t="str">
        <f t="shared" si="0"/>
        <v>RAB</v>
      </c>
      <c r="C4" s="5" t="s">
        <v>380</v>
      </c>
      <c r="D4" s="5" t="s">
        <v>381</v>
      </c>
      <c r="E4" s="5"/>
      <c r="F4" s="5"/>
      <c r="G4" s="5"/>
      <c r="H4" s="5" t="s">
        <v>382</v>
      </c>
      <c r="I4" s="5" t="s">
        <v>383</v>
      </c>
      <c r="J4" s="31" t="s">
        <v>25</v>
      </c>
      <c r="K4" s="31" t="s">
        <v>26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5.75" customHeight="1" x14ac:dyDescent="0.25">
      <c r="A5" s="5" t="s">
        <v>379</v>
      </c>
      <c r="B5" s="5" t="s">
        <v>384</v>
      </c>
      <c r="C5" s="5" t="s">
        <v>385</v>
      </c>
      <c r="D5" s="32">
        <f t="shared" ref="D5:D6" si="1">494073341472</f>
        <v>494073341472</v>
      </c>
      <c r="E5" s="5"/>
      <c r="F5" s="5" t="s">
        <v>386</v>
      </c>
      <c r="G5" s="5" t="s">
        <v>387</v>
      </c>
      <c r="H5" s="5" t="s">
        <v>382</v>
      </c>
      <c r="I5" s="5" t="s">
        <v>388</v>
      </c>
      <c r="J5" s="31" t="s">
        <v>26</v>
      </c>
      <c r="K5" s="31" t="s">
        <v>25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.75" customHeight="1" x14ac:dyDescent="0.25">
      <c r="A6" s="5" t="s">
        <v>379</v>
      </c>
      <c r="B6" s="5" t="s">
        <v>384</v>
      </c>
      <c r="C6" s="5" t="s">
        <v>389</v>
      </c>
      <c r="D6" s="32">
        <f t="shared" si="1"/>
        <v>494073341472</v>
      </c>
      <c r="E6" s="5"/>
      <c r="F6" s="5" t="s">
        <v>390</v>
      </c>
      <c r="G6" s="5" t="s">
        <v>391</v>
      </c>
      <c r="H6" s="5" t="s">
        <v>382</v>
      </c>
      <c r="I6" s="5" t="s">
        <v>392</v>
      </c>
      <c r="J6" s="31" t="s">
        <v>25</v>
      </c>
      <c r="K6" s="31" t="s">
        <v>26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5.75" customHeight="1" x14ac:dyDescent="0.25">
      <c r="A7" s="5" t="s">
        <v>393</v>
      </c>
      <c r="B7" s="5" t="str">
        <f t="shared" ref="B7:B11" si="2">UPPER(LEFT(A7, 3))</f>
        <v>NOS</v>
      </c>
      <c r="C7" s="5" t="s">
        <v>394</v>
      </c>
      <c r="D7" s="5"/>
      <c r="E7" s="5"/>
      <c r="F7" s="5" t="s">
        <v>139</v>
      </c>
      <c r="G7" s="5" t="s">
        <v>395</v>
      </c>
      <c r="H7" s="5" t="s">
        <v>382</v>
      </c>
      <c r="I7" s="5" t="s">
        <v>396</v>
      </c>
      <c r="J7" s="31" t="s">
        <v>25</v>
      </c>
      <c r="K7" s="31" t="s">
        <v>26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5.75" customHeight="1" x14ac:dyDescent="0.25">
      <c r="A8" s="5" t="s">
        <v>397</v>
      </c>
      <c r="B8" s="5" t="str">
        <f t="shared" si="2"/>
        <v>ANG</v>
      </c>
      <c r="C8" s="5" t="s">
        <v>398</v>
      </c>
      <c r="D8" s="5" t="s">
        <v>399</v>
      </c>
      <c r="E8" s="5"/>
      <c r="F8" s="5" t="s">
        <v>400</v>
      </c>
      <c r="G8" s="5" t="s">
        <v>401</v>
      </c>
      <c r="H8" s="5" t="s">
        <v>402</v>
      </c>
      <c r="I8" s="5" t="s">
        <v>403</v>
      </c>
      <c r="J8" s="31" t="s">
        <v>25</v>
      </c>
      <c r="K8" s="31" t="s">
        <v>26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5.75" customHeight="1" x14ac:dyDescent="0.25">
      <c r="A9" s="5" t="s">
        <v>397</v>
      </c>
      <c r="B9" s="5" t="str">
        <f t="shared" si="2"/>
        <v>ANG</v>
      </c>
      <c r="C9" s="5" t="s">
        <v>404</v>
      </c>
      <c r="D9" s="5" t="s">
        <v>405</v>
      </c>
      <c r="E9" s="5"/>
      <c r="F9" s="5" t="s">
        <v>406</v>
      </c>
      <c r="G9" s="5" t="s">
        <v>407</v>
      </c>
      <c r="H9" s="5" t="s">
        <v>402</v>
      </c>
      <c r="I9" s="5" t="s">
        <v>408</v>
      </c>
      <c r="J9" s="31" t="s">
        <v>25</v>
      </c>
      <c r="K9" s="31" t="s">
        <v>26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.75" customHeight="1" x14ac:dyDescent="0.25">
      <c r="A10" s="5" t="s">
        <v>397</v>
      </c>
      <c r="B10" s="5" t="str">
        <f t="shared" si="2"/>
        <v>ANG</v>
      </c>
      <c r="C10" s="5" t="s">
        <v>409</v>
      </c>
      <c r="D10" s="5" t="s">
        <v>410</v>
      </c>
      <c r="E10" s="5"/>
      <c r="F10" s="5" t="s">
        <v>411</v>
      </c>
      <c r="G10" s="5" t="s">
        <v>412</v>
      </c>
      <c r="H10" s="5" t="s">
        <v>402</v>
      </c>
      <c r="I10" s="5" t="s">
        <v>413</v>
      </c>
      <c r="J10" s="31" t="s">
        <v>26</v>
      </c>
      <c r="K10" s="31" t="s">
        <v>25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5.75" customHeight="1" x14ac:dyDescent="0.25">
      <c r="A11" s="5" t="s">
        <v>414</v>
      </c>
      <c r="B11" s="5" t="str">
        <f t="shared" si="2"/>
        <v>L.I</v>
      </c>
      <c r="C11" s="5" t="s">
        <v>415</v>
      </c>
      <c r="D11" s="5"/>
      <c r="E11" s="5"/>
      <c r="F11" s="5" t="s">
        <v>416</v>
      </c>
      <c r="G11" s="5" t="s">
        <v>417</v>
      </c>
      <c r="H11" s="5" t="s">
        <v>418</v>
      </c>
      <c r="I11" s="5"/>
      <c r="J11" s="31" t="s">
        <v>25</v>
      </c>
      <c r="K11" s="31" t="s">
        <v>26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5.75" customHeight="1" x14ac:dyDescent="0.25">
      <c r="A12" s="5" t="s">
        <v>414</v>
      </c>
      <c r="B12" s="5" t="s">
        <v>419</v>
      </c>
      <c r="C12" s="5" t="s">
        <v>420</v>
      </c>
      <c r="D12" s="5" t="s">
        <v>421</v>
      </c>
      <c r="E12" s="5"/>
      <c r="F12" s="5" t="s">
        <v>422</v>
      </c>
      <c r="G12" s="5"/>
      <c r="H12" s="5" t="s">
        <v>418</v>
      </c>
      <c r="I12" s="5" t="s">
        <v>423</v>
      </c>
      <c r="J12" s="31" t="s">
        <v>25</v>
      </c>
      <c r="K12" s="31" t="s">
        <v>26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5.75" customHeight="1" x14ac:dyDescent="0.25">
      <c r="A13" s="5" t="s">
        <v>414</v>
      </c>
      <c r="B13" s="5" t="s">
        <v>419</v>
      </c>
      <c r="C13" s="5" t="s">
        <v>424</v>
      </c>
      <c r="D13" s="5"/>
      <c r="E13" s="5"/>
      <c r="F13" s="5" t="s">
        <v>425</v>
      </c>
      <c r="G13" s="5" t="s">
        <v>426</v>
      </c>
      <c r="H13" s="5" t="s">
        <v>418</v>
      </c>
      <c r="I13" s="5" t="s">
        <v>427</v>
      </c>
      <c r="J13" s="31"/>
      <c r="K13" s="3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5.75" customHeight="1" x14ac:dyDescent="0.25">
      <c r="A14" s="5" t="s">
        <v>428</v>
      </c>
      <c r="B14" s="5" t="str">
        <f>UPPER(LEFT(A14, 3))</f>
        <v>KRO</v>
      </c>
      <c r="C14" s="5" t="s">
        <v>429</v>
      </c>
      <c r="D14" s="5" t="s">
        <v>430</v>
      </c>
      <c r="E14" s="5"/>
      <c r="F14" s="5" t="s">
        <v>431</v>
      </c>
      <c r="G14" s="5" t="s">
        <v>432</v>
      </c>
      <c r="H14" s="5" t="s">
        <v>433</v>
      </c>
      <c r="I14" s="5" t="s">
        <v>434</v>
      </c>
      <c r="J14" s="31" t="s">
        <v>25</v>
      </c>
      <c r="K14" s="31" t="s">
        <v>26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75" customHeight="1" x14ac:dyDescent="0.25">
      <c r="A15" s="5" t="s">
        <v>435</v>
      </c>
      <c r="B15" s="5" t="s">
        <v>436</v>
      </c>
      <c r="C15" s="5" t="s">
        <v>437</v>
      </c>
      <c r="D15" s="5" t="s">
        <v>438</v>
      </c>
      <c r="E15" s="5"/>
      <c r="F15" s="5" t="s">
        <v>439</v>
      </c>
      <c r="G15" s="5" t="s">
        <v>440</v>
      </c>
      <c r="H15" s="5" t="s">
        <v>382</v>
      </c>
      <c r="I15" s="5" t="s">
        <v>97</v>
      </c>
      <c r="J15" s="31" t="s">
        <v>25</v>
      </c>
      <c r="K15" s="31" t="s">
        <v>26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ht="15.75" customHeight="1" x14ac:dyDescent="0.25">
      <c r="A16" s="5" t="s">
        <v>435</v>
      </c>
      <c r="B16" s="5" t="s">
        <v>436</v>
      </c>
      <c r="C16" s="5" t="s">
        <v>441</v>
      </c>
      <c r="D16" s="5"/>
      <c r="E16" s="5"/>
      <c r="F16" s="5" t="s">
        <v>442</v>
      </c>
      <c r="G16" s="5" t="s">
        <v>443</v>
      </c>
      <c r="H16" s="5" t="s">
        <v>382</v>
      </c>
      <c r="I16" s="5" t="s">
        <v>444</v>
      </c>
      <c r="J16" s="31" t="s">
        <v>25</v>
      </c>
      <c r="K16" s="31" t="s">
        <v>26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ht="15.75" customHeight="1" x14ac:dyDescent="0.25">
      <c r="A17" s="5" t="s">
        <v>445</v>
      </c>
      <c r="B17" s="5" t="str">
        <f>UPPER(LEFT(A17, 3))</f>
        <v>LEO</v>
      </c>
      <c r="C17" s="5" t="s">
        <v>446</v>
      </c>
      <c r="D17" s="5" t="s">
        <v>447</v>
      </c>
      <c r="E17" s="5"/>
      <c r="F17" s="5" t="s">
        <v>448</v>
      </c>
      <c r="G17" s="5" t="s">
        <v>449</v>
      </c>
      <c r="H17" s="5" t="s">
        <v>382</v>
      </c>
      <c r="I17" s="5" t="s">
        <v>450</v>
      </c>
      <c r="J17" s="31" t="s">
        <v>25</v>
      </c>
      <c r="K17" s="31" t="s">
        <v>26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ht="15.75" customHeight="1" x14ac:dyDescent="0.25">
      <c r="A18" s="5" t="s">
        <v>445</v>
      </c>
      <c r="B18" s="5" t="s">
        <v>451</v>
      </c>
      <c r="C18" s="5" t="s">
        <v>452</v>
      </c>
      <c r="D18" s="32">
        <f>491739140321</f>
        <v>491739140321</v>
      </c>
      <c r="E18" s="5"/>
      <c r="F18" s="5" t="s">
        <v>453</v>
      </c>
      <c r="G18" s="5" t="s">
        <v>454</v>
      </c>
      <c r="H18" s="5" t="s">
        <v>382</v>
      </c>
      <c r="I18" s="5" t="s">
        <v>455</v>
      </c>
      <c r="J18" s="31"/>
      <c r="K18" s="31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 ht="15.75" customHeight="1" x14ac:dyDescent="0.25">
      <c r="A19" s="12" t="s">
        <v>456</v>
      </c>
      <c r="B19" s="12" t="str">
        <f t="shared" ref="B19:B20" si="3">UPPER(LEFT(A19, 3))</f>
        <v>CAR</v>
      </c>
      <c r="C19" s="12" t="s">
        <v>457</v>
      </c>
      <c r="D19" s="32">
        <f>4921141848722</f>
        <v>4921141848722</v>
      </c>
      <c r="E19" s="12"/>
      <c r="F19" s="12" t="s">
        <v>458</v>
      </c>
      <c r="G19" s="12"/>
      <c r="H19" s="12" t="s">
        <v>459</v>
      </c>
      <c r="I19" s="12" t="s">
        <v>460</v>
      </c>
      <c r="J19" s="31" t="s">
        <v>26</v>
      </c>
      <c r="K19" s="31" t="s">
        <v>25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ht="15.75" customHeight="1" x14ac:dyDescent="0.25">
      <c r="A20" s="12" t="s">
        <v>461</v>
      </c>
      <c r="B20" s="12" t="str">
        <f t="shared" si="3"/>
        <v>STR</v>
      </c>
      <c r="C20" s="12" t="s">
        <v>462</v>
      </c>
      <c r="D20" s="33">
        <v>497611305327</v>
      </c>
      <c r="E20" s="12"/>
      <c r="F20" s="12" t="s">
        <v>463</v>
      </c>
      <c r="G20" s="12" t="s">
        <v>464</v>
      </c>
      <c r="H20" s="12" t="s">
        <v>465</v>
      </c>
      <c r="I20" s="12" t="s">
        <v>466</v>
      </c>
      <c r="J20" s="31" t="s">
        <v>25</v>
      </c>
      <c r="K20" s="31" t="s">
        <v>26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 ht="15.75" customHeight="1" x14ac:dyDescent="0.25">
      <c r="A21" s="12" t="s">
        <v>467</v>
      </c>
      <c r="B21" s="12" t="s">
        <v>468</v>
      </c>
      <c r="C21" s="12" t="s">
        <v>469</v>
      </c>
      <c r="D21" s="33">
        <v>494215900022</v>
      </c>
      <c r="E21" s="12"/>
      <c r="F21" s="12" t="s">
        <v>470</v>
      </c>
      <c r="G21" s="12" t="s">
        <v>471</v>
      </c>
      <c r="H21" s="12" t="s">
        <v>465</v>
      </c>
      <c r="I21" s="12" t="s">
        <v>472</v>
      </c>
      <c r="J21" s="31" t="s">
        <v>25</v>
      </c>
      <c r="K21" s="31" t="s">
        <v>26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ht="15.75" customHeight="1" x14ac:dyDescent="0.25">
      <c r="A22" s="12" t="s">
        <v>473</v>
      </c>
      <c r="B22" s="12" t="s">
        <v>474</v>
      </c>
      <c r="C22" s="12" t="s">
        <v>475</v>
      </c>
      <c r="D22" s="33">
        <v>4961052764508</v>
      </c>
      <c r="E22" s="12"/>
      <c r="F22" s="12" t="s">
        <v>476</v>
      </c>
      <c r="G22" s="12" t="s">
        <v>477</v>
      </c>
      <c r="H22" s="12" t="s">
        <v>478</v>
      </c>
      <c r="I22" s="12" t="s">
        <v>444</v>
      </c>
      <c r="J22" s="31" t="s">
        <v>25</v>
      </c>
      <c r="K22" s="31" t="s">
        <v>26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.75" customHeight="1" x14ac:dyDescent="0.25">
      <c r="A23" s="12" t="s">
        <v>473</v>
      </c>
      <c r="B23" s="12" t="s">
        <v>474</v>
      </c>
      <c r="C23" s="12" t="s">
        <v>479</v>
      </c>
      <c r="D23" s="33">
        <v>4961052764581</v>
      </c>
      <c r="E23" s="12"/>
      <c r="F23" s="12" t="s">
        <v>480</v>
      </c>
      <c r="G23" s="12" t="s">
        <v>481</v>
      </c>
      <c r="H23" s="12" t="s">
        <v>478</v>
      </c>
      <c r="I23" s="12" t="s">
        <v>482</v>
      </c>
      <c r="J23" s="31" t="s">
        <v>26</v>
      </c>
      <c r="K23" s="31" t="s">
        <v>25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ht="15.75" customHeight="1" x14ac:dyDescent="0.25">
      <c r="A24" s="12" t="s">
        <v>483</v>
      </c>
      <c r="B24" s="12" t="s">
        <v>484</v>
      </c>
      <c r="C24" s="12" t="s">
        <v>485</v>
      </c>
      <c r="D24" s="12" t="s">
        <v>486</v>
      </c>
      <c r="E24" s="12"/>
      <c r="F24" s="12" t="s">
        <v>487</v>
      </c>
      <c r="G24" s="12" t="s">
        <v>488</v>
      </c>
      <c r="H24" s="12"/>
      <c r="I24" s="12" t="s">
        <v>489</v>
      </c>
      <c r="J24" s="31"/>
      <c r="K24" s="31"/>
      <c r="L24" s="12" t="s">
        <v>490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31"/>
      <c r="K25" s="31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31"/>
      <c r="K26" s="31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1:30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ht="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ht="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 ht="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ht="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 ht="1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ht="1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ht="1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ht="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ht="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ht="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ht="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 ht="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ht="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ht="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ht="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1:30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1:30" ht="1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 ht="1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 ht="1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 ht="1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 ht="1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 ht="1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1:30" ht="1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 ht="1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1:30" ht="1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 ht="15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1:30" ht="15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1:30" ht="15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 ht="15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 ht="15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 ht="15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 ht="15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 ht="15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1:30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0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0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1:30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spans="1:30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spans="1:30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spans="1:30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spans="1:30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1:30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1:30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1:30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1:30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spans="1:30" ht="12.7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spans="1:30" ht="12.7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1:30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1:30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spans="1:30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spans="1:30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spans="1:30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spans="1:30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spans="1:30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spans="1:30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spans="1:30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spans="1:30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spans="1:30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spans="1:30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spans="1:30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spans="1:30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spans="1:30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spans="1:30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spans="1:30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spans="1:30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spans="1:30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spans="1:30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spans="1:30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spans="1:30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spans="1:30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spans="1:30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spans="1:30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spans="1:30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spans="1:30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spans="1:30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spans="1:30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spans="1:30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spans="1:30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spans="1:30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spans="1:30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spans="1:30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spans="1:30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spans="1:30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spans="1:30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1:30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spans="1:30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spans="1:30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spans="1:30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1:30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1:30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1:30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1:30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1:30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1:30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1:30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1:30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1:30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1:30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1:30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1:30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1:30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spans="1:30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1:30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spans="1:30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spans="1:30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spans="1:30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spans="1:30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1:30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1:30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spans="1:30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spans="1:30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1:30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spans="1:30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1:30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1:30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1:30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spans="1:30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spans="1:30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1:30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1:30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1:30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1:30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1:30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spans="1:30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spans="1:30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spans="1:30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spans="1:30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spans="1:30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spans="1:30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spans="1:30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spans="1:30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spans="1:30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spans="1:30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spans="1:30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spans="1:30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spans="1:30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spans="1:30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spans="1:30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spans="1:30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spans="1:30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spans="1:30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spans="1:30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1:30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spans="1:30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spans="1:30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spans="1:30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spans="1:30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spans="1:30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spans="1:30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spans="1:30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spans="1:30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spans="1:30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spans="1:30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30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30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30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30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30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30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1:30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spans="1:30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spans="1:30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spans="1:30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spans="1:30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spans="1:30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spans="1:30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spans="1:30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spans="1:30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spans="1:30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spans="1:30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spans="1:30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spans="1:30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spans="1:30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spans="1:30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spans="1:30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spans="1:30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spans="1:30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spans="1:30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spans="1:30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spans="1:30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spans="1:30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spans="1:30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spans="1:30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spans="1:30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spans="1:30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spans="1:30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spans="1:30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spans="1:30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spans="1:30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spans="1:30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spans="1:30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spans="1:30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spans="1:30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spans="1:30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spans="1:30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spans="1:30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spans="1:30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spans="1:30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spans="1:30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spans="1:30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spans="1:30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spans="1:30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spans="1:30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spans="1:30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spans="1:30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spans="1:30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spans="1:30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spans="1:30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spans="1:30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spans="1:30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spans="1:30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spans="1:30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spans="1:30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spans="1:30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spans="1:30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spans="1:30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spans="1:30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spans="1:30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spans="1:30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spans="1:30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spans="1:30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spans="1:30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spans="1:30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spans="1:30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spans="1:30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spans="1:30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spans="1:30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spans="1:30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spans="1:30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spans="1:30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spans="1:30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spans="1:30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spans="1:30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spans="1:30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spans="1:30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spans="1:30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spans="1:30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spans="1:30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spans="1:30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spans="1:30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spans="1:30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spans="1:30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spans="1:30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spans="1:30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spans="1:30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spans="1:30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spans="1:30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spans="1:30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spans="1:30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spans="1:30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spans="1:30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spans="1:30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spans="1:30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spans="1:30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spans="1:30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spans="1:30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spans="1:30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spans="1:30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spans="1:30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spans="1:30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spans="1:30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spans="1:30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spans="1:30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spans="1:30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spans="1:30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spans="1:30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spans="1:30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spans="1:30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spans="1:30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spans="1:30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spans="1:30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spans="1:30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spans="1:30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spans="1:30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spans="1:30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spans="1:30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spans="1:30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spans="1:30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spans="1:30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spans="1:30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spans="1:30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spans="1:30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spans="1:30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spans="1:30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spans="1:30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spans="1:30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spans="1:30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spans="1:30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spans="1:30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spans="1:30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spans="1:30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spans="1:30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spans="1:30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spans="1:30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spans="1:30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spans="1:30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spans="1:30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spans="1:30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spans="1:30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spans="1:30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spans="1:30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spans="1:30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spans="1:30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spans="1:30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spans="1:30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spans="1:30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spans="1:30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spans="1:30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spans="1:30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spans="1:30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spans="1:30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spans="1:30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spans="1:30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spans="1:30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spans="1:30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spans="1:30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spans="1:30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spans="1:30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spans="1:30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spans="1:30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spans="1:30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spans="1:30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spans="1:30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spans="1:30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spans="1:30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spans="1:30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spans="1:30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spans="1:30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spans="1:30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spans="1:30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spans="1:30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spans="1:30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spans="1:30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spans="1:30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spans="1:30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spans="1:30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spans="1:30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spans="1:30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spans="1:30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spans="1:30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spans="1:30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spans="1:30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spans="1:30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spans="1:30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spans="1:30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spans="1:30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spans="1:30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spans="1:30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spans="1:30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spans="1:30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spans="1:30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spans="1:30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spans="1:30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spans="1:30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spans="1:30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spans="1:30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spans="1:30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spans="1:30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spans="1:30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spans="1:30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spans="1:30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spans="1:30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spans="1:30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spans="1:30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spans="1:30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spans="1:30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spans="1:30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spans="1:30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spans="1:30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spans="1:30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spans="1:30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spans="1:30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spans="1:30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spans="1:30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spans="1:30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spans="1:30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spans="1:30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spans="1:30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spans="1:30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spans="1:30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spans="1:30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spans="1:30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spans="1:30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spans="1:30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spans="1:30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spans="1:30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spans="1:30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spans="1:30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spans="1:30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spans="1:30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spans="1:30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spans="1:30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spans="1:30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spans="1:30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spans="1:30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spans="1:30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spans="1:30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spans="1:30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spans="1:30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spans="1:30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spans="1:30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spans="1:30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spans="1:30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spans="1:30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spans="1:30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spans="1:30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spans="1:30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spans="1:30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spans="1:30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spans="1:30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spans="1:30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spans="1:30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spans="1:30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spans="1:30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spans="1:30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spans="1:30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spans="1:30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spans="1:30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spans="1:30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spans="1:30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spans="1:30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spans="1:30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spans="1:30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spans="1:30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spans="1:30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spans="1:30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spans="1:30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spans="1:30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spans="1:30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spans="1:30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spans="1:30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spans="1:30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spans="1:30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spans="1:30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spans="1:30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spans="1:30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spans="1:30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spans="1:30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spans="1:30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spans="1:30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spans="1:30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spans="1:30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spans="1:30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spans="1:30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spans="1:30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spans="1:30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spans="1:30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spans="1:30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spans="1:30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spans="1:30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spans="1:30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spans="1:30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spans="1:30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spans="1:30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spans="1:30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spans="1:30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spans="1:30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spans="1:30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spans="1:30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spans="1:30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spans="1:30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spans="1:30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spans="1:30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spans="1:30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spans="1:30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spans="1:30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spans="1:30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spans="1:30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spans="1:30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spans="1:30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spans="1:30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spans="1:30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spans="1:30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spans="1:30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spans="1:30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spans="1:30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spans="1:30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spans="1:30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spans="1:30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spans="1:30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spans="1:30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spans="1:30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spans="1:30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spans="1:30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spans="1:30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spans="1:30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spans="1:30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spans="1:30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spans="1:30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spans="1:30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spans="1:30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spans="1:30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spans="1:30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spans="1:30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spans="1:30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spans="1:30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spans="1:30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spans="1:30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spans="1:30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spans="1:30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spans="1:30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spans="1:30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spans="1:30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spans="1:30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spans="1:30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spans="1:30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spans="1:30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spans="1:30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spans="1:30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spans="1:30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spans="1:30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spans="1:30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spans="1:30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spans="1:30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spans="1:30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spans="1:30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spans="1:30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spans="1:30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spans="1:30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spans="1:30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spans="1:30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spans="1:30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spans="1:30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spans="1:30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spans="1:30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spans="1:30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spans="1:30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spans="1:30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spans="1:30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spans="1:30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spans="1:30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spans="1:30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spans="1:30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spans="1:30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spans="1:30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spans="1:30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spans="1:30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spans="1:30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spans="1:30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spans="1:30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spans="1:30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spans="1:30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spans="1:30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spans="1:30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spans="1:30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spans="1:30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spans="1:30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spans="1:30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spans="1:30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spans="1:30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spans="1:30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spans="1:30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spans="1:30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spans="1:30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spans="1:30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spans="1:30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spans="1:30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spans="1:30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spans="1:30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spans="1:30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spans="1:30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spans="1:30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spans="1:30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spans="1:30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spans="1:30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spans="1:30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spans="1:30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spans="1:30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spans="1:30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spans="1:30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spans="1:30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spans="1:30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spans="1:30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spans="1:30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spans="1:30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spans="1:30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spans="1:30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spans="1:30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spans="1:30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spans="1:30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spans="1:30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spans="1:30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spans="1:30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spans="1:30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spans="1:30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spans="1:30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spans="1:30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spans="1:30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spans="1:30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spans="1:30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spans="1:30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spans="1:30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spans="1:30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spans="1:30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spans="1:30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spans="1:30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spans="1:30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spans="1:30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spans="1:30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spans="1:30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spans="1:30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spans="1:30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spans="1:30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spans="1:30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spans="1:30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spans="1:30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spans="1:30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spans="1:30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spans="1:30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spans="1:30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spans="1:30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spans="1:30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spans="1:30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spans="1:30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spans="1:30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spans="1:30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spans="1:30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spans="1:30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spans="1:30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spans="1:30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spans="1:30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spans="1:30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spans="1:30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spans="1:30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spans="1:30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spans="1:30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spans="1:30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spans="1:30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spans="1:30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spans="1:30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spans="1:30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spans="1:30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spans="1:30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spans="1:30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spans="1:30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spans="1:30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spans="1:30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spans="1:30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spans="1:30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spans="1:30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spans="1:30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spans="1:30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spans="1:30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spans="1:30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spans="1:30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spans="1:30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spans="1:30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spans="1:30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spans="1:30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spans="1:30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spans="1:30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spans="1:30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spans="1:30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spans="1:30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spans="1:30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spans="1:30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spans="1:30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spans="1:30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spans="1:30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spans="1:30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spans="1:30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spans="1:30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spans="1:30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spans="1:30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spans="1:30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spans="1:30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spans="1:30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spans="1:30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spans="1:30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spans="1:30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spans="1:30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spans="1:30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spans="1:30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spans="1:30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spans="1:30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spans="1:30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spans="1:30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spans="1:30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spans="1:30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spans="1:30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spans="1:30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spans="1:30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spans="1:30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spans="1:30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spans="1:30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spans="1:30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spans="1:30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spans="1:30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spans="1:30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spans="1:30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spans="1:30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spans="1:30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spans="1:30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spans="1:30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spans="1:30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spans="1:30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spans="1:30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spans="1:30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spans="1:30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spans="1:30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spans="1:30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spans="1:30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spans="1:30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spans="1:30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spans="1:30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spans="1:30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spans="1:30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spans="1:30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spans="1:30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spans="1:30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spans="1:30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spans="1:30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spans="1:30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spans="1:30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spans="1:30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spans="1:30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spans="1:30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spans="1:30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spans="1:30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spans="1:30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spans="1:30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spans="1:30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spans="1:30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spans="1:30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spans="1:30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spans="1:30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spans="1:30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spans="1:30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spans="1:30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spans="1:30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spans="1:30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spans="1:30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spans="1:30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spans="1:30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spans="1:30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spans="1:30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spans="1:30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spans="1:30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spans="1:30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spans="1:30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spans="1:30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spans="1:30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spans="1:30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spans="1:30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spans="1:30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spans="1:30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spans="1:30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spans="1:30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spans="1:30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spans="1:30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spans="1:30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spans="1:30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spans="1:30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spans="1:30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spans="1:30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spans="1:30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spans="1:30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spans="1:30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spans="1:30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spans="1:30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spans="1:30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spans="1:30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spans="1:30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spans="1:30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spans="1:30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spans="1:30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spans="1:30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spans="1:30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spans="1:30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spans="1:30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spans="1:30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spans="1:30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spans="1:30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spans="1:30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spans="1:30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spans="1:30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spans="1:30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spans="1:30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spans="1:30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spans="1:30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spans="1:30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spans="1:30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spans="1:30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spans="1:30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spans="1:30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spans="1:30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spans="1:30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spans="1:30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spans="1:30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spans="1:30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spans="1:30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spans="1:30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spans="1:30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spans="1:30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spans="1:30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spans="1:30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spans="1:30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spans="1:30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spans="1:30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spans="1:30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spans="1:30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spans="1:30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spans="1:30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spans="1:30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spans="1:30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spans="1:30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spans="1:30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spans="1:30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spans="1:30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spans="1:30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spans="1:30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spans="1:30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spans="1:30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spans="1:30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spans="1:30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spans="1:30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spans="1:30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spans="1:30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spans="1:30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spans="1:30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spans="1:30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spans="1:30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spans="1:30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spans="1:30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spans="1:30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spans="1:30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spans="1:30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spans="1:30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spans="1:30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spans="1:30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spans="1:30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spans="1:30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spans="1:30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spans="1:30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spans="1:30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spans="1:30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spans="1:30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spans="1:30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spans="1:30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spans="1:30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spans="1:30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spans="1:30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spans="1:30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spans="1:30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spans="1:30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spans="1:30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spans="1:30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spans="1:30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spans="1:30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spans="1:30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spans="1:30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spans="1:30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spans="1:30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spans="1:30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spans="1:30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spans="1:30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spans="1:30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spans="1:30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spans="1:30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spans="1:30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spans="1:30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spans="1:30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spans="1:30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spans="1:30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spans="1:30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spans="1:30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spans="1:30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spans="1:30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spans="1:30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spans="1:30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spans="1:30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spans="1:30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spans="1:30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spans="1:30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spans="1:30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spans="1:30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spans="1:30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spans="1:30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spans="1:30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spans="1:30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spans="1:30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spans="1:30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spans="1:30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spans="1:30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spans="1:30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spans="1:30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spans="1:30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spans="1:30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spans="1:30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spans="1:30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spans="1:30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spans="1:30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spans="1:30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spans="1:30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spans="1:30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spans="1:30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spans="1:30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spans="1:30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spans="1:30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spans="1:30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spans="1:30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spans="1:30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spans="1:30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spans="1:30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spans="1:30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spans="1:30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spans="1:30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spans="1:30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spans="1:30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spans="1:30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spans="1:30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spans="1:30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spans="1:30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spans="1:30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spans="1:30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spans="1:30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spans="1:30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spans="1:30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spans="1:30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spans="1:30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spans="1:30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spans="1:30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spans="1:30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spans="1:30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spans="1:30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spans="1:30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spans="1:30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spans="1:30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spans="1:30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spans="1:30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spans="1:30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spans="1:30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spans="1:30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spans="1:30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spans="1:30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spans="1:30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spans="1:30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spans="1:30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spans="1:30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spans="1:30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spans="1:30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spans="1:30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spans="1:30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spans="1:30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spans="1:30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spans="1:30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spans="1:30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spans="1:30" ht="12.75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spans="1:30" ht="12.75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spans="1:30" ht="12.75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spans="1:30" ht="12.75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spans="1:30" ht="12.75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spans="1:30" ht="12.75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spans="1:30" ht="12.75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spans="1:30" ht="12.75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spans="1:30" ht="12.75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</sheetData>
  <dataValidations count="1">
    <dataValidation type="list" allowBlank="1" showErrorMessage="1" sqref="J2:K26" xr:uid="{00000000-0002-0000-0400-000000000000}">
      <formula1>"Yes,No"</formula1>
    </dataValidation>
  </dataValidations>
  <hyperlinks>
    <hyperlink ref="C3" r:id="rId1" xr:uid="{00000000-0004-0000-0400-000000000000}"/>
    <hyperlink ref="C4" r:id="rId2" xr:uid="{00000000-0004-0000-0400-000001000000}"/>
    <hyperlink ref="C7" r:id="rId3" xr:uid="{00000000-0004-0000-0400-000002000000}"/>
    <hyperlink ref="C8" r:id="rId4" xr:uid="{00000000-0004-0000-0400-000003000000}"/>
    <hyperlink ref="C14" r:id="rId5" xr:uid="{00000000-0004-0000-0400-000004000000}"/>
    <hyperlink ref="C15" r:id="rId6" xr:uid="{00000000-0004-0000-0400-000005000000}"/>
    <hyperlink ref="C17" r:id="rId7" xr:uid="{00000000-0004-0000-0400-000006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23"/>
  <sheetViews>
    <sheetView workbookViewId="0"/>
  </sheetViews>
  <sheetFormatPr defaultColWidth="12.5703125" defaultRowHeight="15.75" customHeight="1" x14ac:dyDescent="0.2"/>
  <cols>
    <col min="1" max="1" width="30.5703125" customWidth="1"/>
    <col min="2" max="2" width="7.85546875" customWidth="1"/>
    <col min="3" max="3" width="35.7109375" customWidth="1"/>
    <col min="4" max="4" width="16.42578125" customWidth="1"/>
    <col min="9" max="9" width="30.28515625" customWidth="1"/>
    <col min="10" max="10" width="5.140625" customWidth="1"/>
    <col min="11" max="11" width="5.28515625" customWidth="1"/>
  </cols>
  <sheetData>
    <row r="1" spans="1:18" ht="15.75" customHeight="1" x14ac:dyDescent="0.25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6"/>
    </row>
    <row r="2" spans="1:18" ht="15.75" customHeight="1" x14ac:dyDescent="0.25">
      <c r="A2" s="5" t="s">
        <v>491</v>
      </c>
      <c r="B2" s="7" t="str">
        <f t="shared" ref="B2:B6" si="0">UPPER(LEFT(A2, 3))</f>
        <v>TOT</v>
      </c>
      <c r="C2" s="7" t="s">
        <v>492</v>
      </c>
      <c r="D2" s="7"/>
      <c r="E2" s="7"/>
      <c r="F2" s="7" t="s">
        <v>493</v>
      </c>
      <c r="G2" s="7" t="s">
        <v>494</v>
      </c>
      <c r="H2" s="7" t="s">
        <v>495</v>
      </c>
      <c r="I2" s="7" t="s">
        <v>373</v>
      </c>
      <c r="J2" s="9" t="s">
        <v>25</v>
      </c>
      <c r="K2" s="9" t="s">
        <v>26</v>
      </c>
      <c r="L2" s="7"/>
      <c r="M2" s="7"/>
      <c r="N2" s="7"/>
      <c r="O2" s="7"/>
      <c r="P2" s="7"/>
      <c r="Q2" s="7"/>
      <c r="R2" s="7"/>
    </row>
    <row r="3" spans="1:18" x14ac:dyDescent="0.2">
      <c r="A3" s="36" t="s">
        <v>496</v>
      </c>
      <c r="B3" s="37" t="str">
        <f t="shared" si="0"/>
        <v>ALP</v>
      </c>
      <c r="C3" s="37" t="s">
        <v>497</v>
      </c>
      <c r="D3" s="37" t="s">
        <v>498</v>
      </c>
      <c r="F3" s="37" t="s">
        <v>499</v>
      </c>
      <c r="G3" s="37" t="s">
        <v>500</v>
      </c>
      <c r="H3" s="37" t="s">
        <v>495</v>
      </c>
      <c r="I3" s="37" t="s">
        <v>501</v>
      </c>
      <c r="J3" s="9" t="s">
        <v>25</v>
      </c>
      <c r="K3" s="9" t="s">
        <v>26</v>
      </c>
    </row>
    <row r="4" spans="1:18" x14ac:dyDescent="0.2">
      <c r="A4" s="36" t="s">
        <v>502</v>
      </c>
      <c r="B4" s="37" t="str">
        <f t="shared" si="0"/>
        <v>EAS</v>
      </c>
      <c r="C4" s="37" t="s">
        <v>503</v>
      </c>
      <c r="F4" s="37" t="s">
        <v>504</v>
      </c>
      <c r="H4" s="37" t="s">
        <v>495</v>
      </c>
      <c r="I4" s="37" t="s">
        <v>505</v>
      </c>
      <c r="J4" s="9" t="s">
        <v>26</v>
      </c>
      <c r="K4" s="9" t="s">
        <v>26</v>
      </c>
    </row>
    <row r="5" spans="1:18" ht="15.75" customHeight="1" x14ac:dyDescent="0.25">
      <c r="A5" s="36" t="s">
        <v>506</v>
      </c>
      <c r="B5" s="37" t="str">
        <f t="shared" si="0"/>
        <v>LPO</v>
      </c>
      <c r="C5" s="37" t="s">
        <v>507</v>
      </c>
      <c r="F5" s="7" t="s">
        <v>508</v>
      </c>
      <c r="G5" s="37" t="s">
        <v>509</v>
      </c>
      <c r="H5" s="37" t="s">
        <v>510</v>
      </c>
      <c r="I5" s="37" t="s">
        <v>511</v>
      </c>
      <c r="J5" s="9" t="s">
        <v>25</v>
      </c>
      <c r="K5" s="9" t="s">
        <v>26</v>
      </c>
    </row>
    <row r="6" spans="1:18" x14ac:dyDescent="0.2">
      <c r="A6" s="36" t="s">
        <v>512</v>
      </c>
      <c r="B6" s="37" t="str">
        <f t="shared" si="0"/>
        <v>SEA</v>
      </c>
      <c r="C6" s="37" t="s">
        <v>513</v>
      </c>
      <c r="F6" s="37" t="s">
        <v>514</v>
      </c>
      <c r="G6" s="37" t="s">
        <v>515</v>
      </c>
      <c r="H6" s="37" t="s">
        <v>495</v>
      </c>
      <c r="I6" s="37" t="s">
        <v>516</v>
      </c>
      <c r="J6" s="9" t="s">
        <v>25</v>
      </c>
      <c r="K6" s="9" t="s">
        <v>26</v>
      </c>
    </row>
    <row r="7" spans="1:18" x14ac:dyDescent="0.2">
      <c r="A7" s="36"/>
      <c r="C7" s="37" t="s">
        <v>517</v>
      </c>
      <c r="J7" s="9" t="s">
        <v>25</v>
      </c>
      <c r="K7" s="9" t="s">
        <v>26</v>
      </c>
    </row>
    <row r="8" spans="1:18" x14ac:dyDescent="0.2">
      <c r="A8" s="36"/>
      <c r="C8" s="37" t="s">
        <v>518</v>
      </c>
      <c r="J8" s="9" t="s">
        <v>25</v>
      </c>
      <c r="K8" s="9" t="s">
        <v>26</v>
      </c>
    </row>
    <row r="9" spans="1:18" x14ac:dyDescent="0.2">
      <c r="A9" s="36"/>
      <c r="C9" s="37" t="s">
        <v>519</v>
      </c>
      <c r="J9" s="9" t="s">
        <v>25</v>
      </c>
      <c r="K9" s="9" t="s">
        <v>26</v>
      </c>
    </row>
    <row r="10" spans="1:18" x14ac:dyDescent="0.2">
      <c r="A10" s="36"/>
      <c r="J10" s="9" t="s">
        <v>25</v>
      </c>
      <c r="K10" s="9" t="s">
        <v>26</v>
      </c>
    </row>
    <row r="11" spans="1:18" x14ac:dyDescent="0.2">
      <c r="A11" s="36"/>
      <c r="J11" s="9" t="s">
        <v>25</v>
      </c>
      <c r="K11" s="9" t="s">
        <v>26</v>
      </c>
    </row>
    <row r="12" spans="1:18" x14ac:dyDescent="0.2">
      <c r="A12" s="36"/>
      <c r="J12" s="9" t="s">
        <v>25</v>
      </c>
      <c r="K12" s="9" t="s">
        <v>26</v>
      </c>
    </row>
    <row r="13" spans="1:18" x14ac:dyDescent="0.2">
      <c r="A13" s="36"/>
      <c r="J13" s="9" t="s">
        <v>25</v>
      </c>
      <c r="K13" s="9" t="s">
        <v>26</v>
      </c>
    </row>
    <row r="14" spans="1:18" x14ac:dyDescent="0.2">
      <c r="A14" s="36"/>
      <c r="J14" s="9" t="s">
        <v>25</v>
      </c>
      <c r="K14" s="9" t="s">
        <v>26</v>
      </c>
    </row>
    <row r="15" spans="1:18" x14ac:dyDescent="0.2">
      <c r="A15" s="36"/>
    </row>
    <row r="16" spans="1:18" x14ac:dyDescent="0.2">
      <c r="A16" s="36"/>
    </row>
    <row r="17" spans="1:1" x14ac:dyDescent="0.2">
      <c r="A17" s="36"/>
    </row>
    <row r="18" spans="1:1" x14ac:dyDescent="0.2">
      <c r="A18" s="36"/>
    </row>
    <row r="19" spans="1:1" x14ac:dyDescent="0.2">
      <c r="A19" s="36"/>
    </row>
    <row r="20" spans="1:1" x14ac:dyDescent="0.2">
      <c r="A20" s="36"/>
    </row>
    <row r="21" spans="1:1" x14ac:dyDescent="0.2">
      <c r="A21" s="36"/>
    </row>
    <row r="22" spans="1:1" x14ac:dyDescent="0.2">
      <c r="A22" s="36"/>
    </row>
    <row r="23" spans="1:1" x14ac:dyDescent="0.2">
      <c r="A23" s="36"/>
    </row>
  </sheetData>
  <dataValidations count="1">
    <dataValidation type="list" allowBlank="1" showErrorMessage="1" sqref="J2:K14" xr:uid="{00000000-0002-0000-0500-000000000000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10"/>
  <sheetViews>
    <sheetView workbookViewId="0"/>
  </sheetViews>
  <sheetFormatPr defaultColWidth="12.5703125" defaultRowHeight="15.75" customHeight="1" x14ac:dyDescent="0.2"/>
  <cols>
    <col min="1" max="1" width="31.85546875" customWidth="1"/>
    <col min="2" max="2" width="6.28515625" customWidth="1"/>
    <col min="3" max="3" width="25.5703125" customWidth="1"/>
    <col min="4" max="4" width="15.42578125" customWidth="1"/>
    <col min="5" max="5" width="9.85546875" customWidth="1"/>
    <col min="6" max="6" width="10.42578125" customWidth="1"/>
    <col min="7" max="7" width="8.85546875" customWidth="1"/>
    <col min="8" max="8" width="6.7109375" customWidth="1"/>
    <col min="9" max="9" width="21.5703125" customWidth="1"/>
    <col min="10" max="10" width="5" customWidth="1"/>
    <col min="11" max="11" width="4.28515625" customWidth="1"/>
  </cols>
  <sheetData>
    <row r="1" spans="1:30" ht="15.75" customHeight="1" x14ac:dyDescent="0.25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211</v>
      </c>
      <c r="J1" s="34" t="s">
        <v>9</v>
      </c>
      <c r="K1" s="34" t="s">
        <v>10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.75" customHeight="1" x14ac:dyDescent="0.25">
      <c r="A2" s="5" t="s">
        <v>520</v>
      </c>
      <c r="B2" s="7" t="str">
        <f t="shared" ref="B2:B10" si="0">UPPER(LEFT(A2, 3))</f>
        <v>ICA</v>
      </c>
      <c r="C2" s="7" t="s">
        <v>521</v>
      </c>
      <c r="D2" s="7" t="s">
        <v>522</v>
      </c>
      <c r="E2" s="7"/>
      <c r="F2" s="7" t="s">
        <v>523</v>
      </c>
      <c r="G2" s="7" t="s">
        <v>524</v>
      </c>
      <c r="H2" s="7"/>
      <c r="I2" s="7" t="s">
        <v>525</v>
      </c>
      <c r="J2" s="9" t="s">
        <v>25</v>
      </c>
      <c r="K2" s="9" t="s">
        <v>26</v>
      </c>
    </row>
    <row r="3" spans="1:30" ht="15.75" customHeight="1" x14ac:dyDescent="0.25">
      <c r="A3" s="5" t="s">
        <v>526</v>
      </c>
      <c r="B3" s="7" t="str">
        <f t="shared" si="0"/>
        <v>C.T</v>
      </c>
      <c r="C3" s="7" t="s">
        <v>527</v>
      </c>
      <c r="D3" s="7" t="s">
        <v>528</v>
      </c>
      <c r="E3" s="7"/>
      <c r="F3" s="7" t="s">
        <v>529</v>
      </c>
      <c r="G3" s="7" t="s">
        <v>530</v>
      </c>
      <c r="H3" s="7"/>
      <c r="I3" s="7"/>
      <c r="J3" s="9" t="s">
        <v>25</v>
      </c>
      <c r="K3" s="9" t="s">
        <v>26</v>
      </c>
    </row>
    <row r="4" spans="1:30" ht="15.75" customHeight="1" x14ac:dyDescent="0.25">
      <c r="A4" s="5" t="s">
        <v>531</v>
      </c>
      <c r="B4" s="7" t="str">
        <f t="shared" si="0"/>
        <v>ACE</v>
      </c>
      <c r="C4" s="7" t="s">
        <v>532</v>
      </c>
      <c r="D4" s="7" t="s">
        <v>533</v>
      </c>
      <c r="E4" s="7"/>
      <c r="F4" s="7" t="s">
        <v>534</v>
      </c>
      <c r="G4" s="7" t="s">
        <v>535</v>
      </c>
      <c r="H4" s="7"/>
      <c r="I4" s="7" t="s">
        <v>536</v>
      </c>
      <c r="J4" s="9" t="s">
        <v>25</v>
      </c>
      <c r="K4" s="9" t="s">
        <v>26</v>
      </c>
    </row>
    <row r="5" spans="1:30" ht="15.75" customHeight="1" x14ac:dyDescent="0.25">
      <c r="A5" s="5" t="s">
        <v>537</v>
      </c>
      <c r="B5" s="7" t="str">
        <f t="shared" si="0"/>
        <v>TRA</v>
      </c>
      <c r="C5" s="7" t="s">
        <v>538</v>
      </c>
      <c r="D5" s="7" t="s">
        <v>539</v>
      </c>
      <c r="E5" s="7"/>
      <c r="F5" s="26" t="s">
        <v>540</v>
      </c>
      <c r="G5" s="26" t="s">
        <v>541</v>
      </c>
      <c r="H5" s="7"/>
      <c r="I5" s="26" t="s">
        <v>542</v>
      </c>
      <c r="J5" s="9" t="s">
        <v>25</v>
      </c>
      <c r="K5" s="9" t="s">
        <v>26</v>
      </c>
    </row>
    <row r="6" spans="1:30" ht="15.75" customHeight="1" x14ac:dyDescent="0.25">
      <c r="B6" s="7" t="str">
        <f t="shared" si="0"/>
        <v/>
      </c>
    </row>
    <row r="7" spans="1:30" ht="15.75" customHeight="1" x14ac:dyDescent="0.25">
      <c r="B7" s="7" t="str">
        <f t="shared" si="0"/>
        <v/>
      </c>
    </row>
    <row r="8" spans="1:30" ht="15.75" customHeight="1" x14ac:dyDescent="0.25">
      <c r="B8" s="7" t="str">
        <f t="shared" si="0"/>
        <v/>
      </c>
    </row>
    <row r="9" spans="1:30" ht="15.75" customHeight="1" x14ac:dyDescent="0.25">
      <c r="B9" s="7" t="str">
        <f t="shared" si="0"/>
        <v/>
      </c>
    </row>
    <row r="10" spans="1:30" ht="15.75" customHeight="1" x14ac:dyDescent="0.25">
      <c r="B10" s="7" t="str">
        <f t="shared" si="0"/>
        <v/>
      </c>
    </row>
  </sheetData>
  <dataValidations count="1">
    <dataValidation type="list" allowBlank="1" showErrorMessage="1" sqref="J2:K5" xr:uid="{00000000-0002-0000-0600-000000000000}">
      <formula1>"Yes,No"</formula1>
    </dataValidation>
  </dataValidations>
  <hyperlinks>
    <hyperlink ref="C5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20"/>
  <sheetViews>
    <sheetView workbookViewId="0"/>
  </sheetViews>
  <sheetFormatPr defaultColWidth="12.5703125" defaultRowHeight="15.75" customHeight="1" x14ac:dyDescent="0.2"/>
  <cols>
    <col min="1" max="1" width="23.140625" customWidth="1"/>
    <col min="2" max="2" width="6.28515625" customWidth="1"/>
    <col min="3" max="3" width="23.140625" customWidth="1"/>
    <col min="4" max="4" width="15.140625" customWidth="1"/>
    <col min="5" max="5" width="9.85546875" customWidth="1"/>
    <col min="6" max="6" width="10.42578125" customWidth="1"/>
    <col min="7" max="7" width="8.85546875" customWidth="1"/>
    <col min="8" max="8" width="6.7109375" customWidth="1"/>
    <col min="9" max="9" width="20.7109375" customWidth="1"/>
    <col min="10" max="10" width="9.42578125" customWidth="1"/>
    <col min="11" max="11" width="6.42578125" customWidth="1"/>
    <col min="12" max="12" width="7.28515625" customWidth="1"/>
  </cols>
  <sheetData>
    <row r="1" spans="1:30" ht="15.75" customHeight="1" x14ac:dyDescent="0.25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211</v>
      </c>
      <c r="J1" s="34" t="s">
        <v>9</v>
      </c>
      <c r="K1" s="34" t="s">
        <v>10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.75" customHeight="1" x14ac:dyDescent="0.25">
      <c r="A2" s="5" t="s">
        <v>543</v>
      </c>
      <c r="B2" s="7" t="str">
        <f t="shared" ref="B2:B9" si="0">UPPER(LEFT(A2, 3))</f>
        <v>JCT</v>
      </c>
      <c r="C2" s="7" t="s">
        <v>544</v>
      </c>
      <c r="D2" s="7" t="s">
        <v>545</v>
      </c>
      <c r="E2" s="7"/>
      <c r="F2" s="7" t="s">
        <v>546</v>
      </c>
      <c r="G2" s="7" t="s">
        <v>547</v>
      </c>
      <c r="H2" s="7" t="s">
        <v>548</v>
      </c>
      <c r="I2" s="7"/>
      <c r="J2" s="9" t="s">
        <v>25</v>
      </c>
      <c r="K2" s="9" t="s">
        <v>26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25">
      <c r="A3" s="5" t="s">
        <v>549</v>
      </c>
      <c r="B3" s="7" t="str">
        <f t="shared" si="0"/>
        <v>SAN</v>
      </c>
      <c r="C3" s="7" t="s">
        <v>550</v>
      </c>
      <c r="D3" s="7" t="s">
        <v>551</v>
      </c>
      <c r="E3" s="7"/>
      <c r="F3" s="7" t="s">
        <v>552</v>
      </c>
      <c r="G3" s="7" t="s">
        <v>553</v>
      </c>
      <c r="H3" s="7" t="s">
        <v>554</v>
      </c>
      <c r="I3" s="7"/>
      <c r="J3" s="9" t="s">
        <v>25</v>
      </c>
      <c r="K3" s="9" t="s">
        <v>26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25">
      <c r="A4" s="5" t="s">
        <v>555</v>
      </c>
      <c r="B4" s="7" t="str">
        <f t="shared" si="0"/>
        <v>APE</v>
      </c>
      <c r="C4" s="7" t="s">
        <v>556</v>
      </c>
      <c r="D4" s="7" t="s">
        <v>557</v>
      </c>
      <c r="E4" s="7"/>
      <c r="F4" s="7" t="s">
        <v>558</v>
      </c>
      <c r="G4" s="7" t="s">
        <v>558</v>
      </c>
      <c r="H4" s="7" t="s">
        <v>548</v>
      </c>
      <c r="I4" s="7" t="s">
        <v>559</v>
      </c>
      <c r="J4" s="9" t="s">
        <v>25</v>
      </c>
      <c r="K4" s="9" t="s">
        <v>26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x14ac:dyDescent="0.25">
      <c r="A5" s="5" t="s">
        <v>560</v>
      </c>
      <c r="B5" s="7" t="str">
        <f t="shared" si="0"/>
        <v>DGX</v>
      </c>
      <c r="C5" s="7" t="s">
        <v>561</v>
      </c>
      <c r="D5" s="7" t="s">
        <v>562</v>
      </c>
      <c r="E5" s="7"/>
      <c r="F5" s="7" t="s">
        <v>563</v>
      </c>
      <c r="G5" s="7" t="s">
        <v>564</v>
      </c>
      <c r="H5" s="7"/>
      <c r="I5" s="7"/>
      <c r="J5" s="9" t="s">
        <v>25</v>
      </c>
      <c r="K5" s="9" t="s">
        <v>26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 x14ac:dyDescent="0.25">
      <c r="A6" s="38" t="s">
        <v>565</v>
      </c>
      <c r="B6" s="7" t="str">
        <f t="shared" si="0"/>
        <v>FEG</v>
      </c>
      <c r="C6" s="39" t="s">
        <v>566</v>
      </c>
      <c r="D6" s="7" t="s">
        <v>567</v>
      </c>
      <c r="E6" s="7"/>
      <c r="F6" s="7" t="s">
        <v>568</v>
      </c>
      <c r="G6" s="7" t="s">
        <v>569</v>
      </c>
      <c r="H6" s="7" t="s">
        <v>548</v>
      </c>
      <c r="I6" s="7"/>
      <c r="J6" s="9" t="s">
        <v>25</v>
      </c>
      <c r="K6" s="9" t="s">
        <v>26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 x14ac:dyDescent="0.25">
      <c r="A7" s="5" t="s">
        <v>570</v>
      </c>
      <c r="B7" s="7" t="str">
        <f t="shared" si="0"/>
        <v>BAR</v>
      </c>
      <c r="C7" s="7" t="s">
        <v>571</v>
      </c>
      <c r="D7" s="7" t="s">
        <v>572</v>
      </c>
      <c r="E7" s="7"/>
      <c r="F7" s="7" t="s">
        <v>573</v>
      </c>
      <c r="G7" s="7" t="s">
        <v>574</v>
      </c>
      <c r="H7" s="7" t="s">
        <v>548</v>
      </c>
      <c r="I7" s="7"/>
      <c r="J7" s="9" t="s">
        <v>25</v>
      </c>
      <c r="K7" s="9" t="s">
        <v>26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 x14ac:dyDescent="0.25">
      <c r="A8" s="5" t="s">
        <v>575</v>
      </c>
      <c r="B8" s="7" t="str">
        <f t="shared" si="0"/>
        <v>NTG</v>
      </c>
      <c r="C8" s="7" t="s">
        <v>576</v>
      </c>
      <c r="D8" s="7" t="s">
        <v>577</v>
      </c>
      <c r="E8" s="7"/>
      <c r="F8" s="7" t="s">
        <v>578</v>
      </c>
      <c r="G8" s="7" t="s">
        <v>579</v>
      </c>
      <c r="H8" s="7" t="s">
        <v>548</v>
      </c>
      <c r="I8" s="7"/>
      <c r="J8" s="9" t="s">
        <v>25</v>
      </c>
      <c r="K8" s="9" t="s">
        <v>26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 x14ac:dyDescent="0.25">
      <c r="A9" s="5" t="s">
        <v>580</v>
      </c>
      <c r="B9" s="7" t="str">
        <f t="shared" si="0"/>
        <v>KOB</v>
      </c>
      <c r="C9" s="7" t="s">
        <v>581</v>
      </c>
      <c r="D9" s="7" t="s">
        <v>582</v>
      </c>
      <c r="E9" s="7"/>
      <c r="F9" s="7" t="s">
        <v>583</v>
      </c>
      <c r="G9" s="7" t="s">
        <v>584</v>
      </c>
      <c r="H9" s="7"/>
      <c r="I9" s="7"/>
      <c r="J9" s="9" t="s">
        <v>25</v>
      </c>
      <c r="K9" s="9" t="s">
        <v>26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7" spans="1:18" x14ac:dyDescent="0.2">
      <c r="A17" s="40" t="s">
        <v>585</v>
      </c>
    </row>
    <row r="19" spans="1:18" ht="15.75" customHeight="1" x14ac:dyDescent="0.25">
      <c r="A19" s="34" t="s">
        <v>0</v>
      </c>
      <c r="B19" s="34" t="s">
        <v>1</v>
      </c>
      <c r="C19" s="34" t="s">
        <v>2</v>
      </c>
      <c r="D19" s="35" t="s">
        <v>3</v>
      </c>
      <c r="E19" s="34" t="s">
        <v>4</v>
      </c>
      <c r="F19" s="34" t="s">
        <v>5</v>
      </c>
      <c r="G19" s="34" t="s">
        <v>6</v>
      </c>
      <c r="H19" s="34" t="s">
        <v>7</v>
      </c>
      <c r="I19" s="34" t="s">
        <v>211</v>
      </c>
      <c r="J19" s="34" t="s">
        <v>9</v>
      </c>
      <c r="K19" s="34" t="s">
        <v>10</v>
      </c>
      <c r="L19" s="34" t="s">
        <v>12</v>
      </c>
      <c r="M19" s="34" t="s">
        <v>13</v>
      </c>
      <c r="N19" s="34" t="s">
        <v>14</v>
      </c>
      <c r="O19" s="34" t="s">
        <v>15</v>
      </c>
      <c r="P19" s="34" t="s">
        <v>16</v>
      </c>
      <c r="Q19" s="34" t="s">
        <v>17</v>
      </c>
      <c r="R19" s="6"/>
    </row>
    <row r="20" spans="1:18" ht="15.75" customHeight="1" x14ac:dyDescent="0.25">
      <c r="A20" s="5" t="s">
        <v>543</v>
      </c>
      <c r="B20" s="7" t="str">
        <f>UPPER(LEFT(A20, 3))</f>
        <v>JCT</v>
      </c>
      <c r="C20" s="7" t="s">
        <v>586</v>
      </c>
      <c r="D20" s="7"/>
      <c r="E20" s="7"/>
      <c r="F20" s="7"/>
      <c r="G20" s="7"/>
      <c r="H20" s="7" t="s">
        <v>548</v>
      </c>
      <c r="I20" s="7"/>
      <c r="J20" s="9" t="s">
        <v>25</v>
      </c>
      <c r="K20" s="9" t="s">
        <v>26</v>
      </c>
    </row>
  </sheetData>
  <dataValidations count="1">
    <dataValidation type="list" allowBlank="1" showErrorMessage="1" sqref="J2:K9 J20:K20" xr:uid="{00000000-0002-0000-0700-000000000000}">
      <formula1>"Yes,No"</formula1>
    </dataValidation>
  </dataValidations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  <hyperlink ref="C8" r:id="rId7" xr:uid="{00000000-0004-0000-0700-000006000000}"/>
    <hyperlink ref="C9" r:id="rId8" xr:uid="{00000000-0004-0000-0700-000007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4"/>
  <sheetViews>
    <sheetView workbookViewId="0"/>
  </sheetViews>
  <sheetFormatPr defaultColWidth="12.5703125" defaultRowHeight="15.75" customHeight="1" x14ac:dyDescent="0.2"/>
  <cols>
    <col min="1" max="1" width="28.7109375" customWidth="1"/>
    <col min="2" max="2" width="6.28515625" customWidth="1"/>
    <col min="3" max="3" width="24.85546875" customWidth="1"/>
    <col min="4" max="4" width="15.42578125" customWidth="1"/>
    <col min="5" max="5" width="9.85546875" customWidth="1"/>
    <col min="6" max="6" width="10.42578125" customWidth="1"/>
    <col min="7" max="7" width="8.85546875" customWidth="1"/>
    <col min="8" max="8" width="6.7109375" customWidth="1"/>
    <col min="9" max="9" width="19.42578125" customWidth="1"/>
    <col min="10" max="10" width="5" customWidth="1"/>
    <col min="11" max="11" width="4.28515625" customWidth="1"/>
    <col min="12" max="12" width="7.28515625" customWidth="1"/>
  </cols>
  <sheetData>
    <row r="1" spans="1:30" ht="15.75" customHeight="1" x14ac:dyDescent="0.25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211</v>
      </c>
      <c r="J1" s="34" t="s">
        <v>9</v>
      </c>
      <c r="K1" s="34" t="s">
        <v>10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.75" customHeight="1" x14ac:dyDescent="0.25">
      <c r="A2" s="5" t="s">
        <v>587</v>
      </c>
      <c r="B2" s="7" t="str">
        <f t="shared" ref="B2:B4" si="0">UPPER(LEFT(A2, 3))</f>
        <v>PAC</v>
      </c>
      <c r="C2" s="7" t="s">
        <v>588</v>
      </c>
      <c r="D2" s="7" t="s">
        <v>589</v>
      </c>
      <c r="E2" s="7"/>
      <c r="F2" s="7" t="s">
        <v>523</v>
      </c>
      <c r="G2" s="7" t="s">
        <v>590</v>
      </c>
      <c r="H2" s="7"/>
      <c r="I2" s="7"/>
      <c r="J2" s="9" t="s">
        <v>25</v>
      </c>
      <c r="K2" s="9" t="s">
        <v>26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25">
      <c r="A3" s="5" t="s">
        <v>591</v>
      </c>
      <c r="B3" s="7" t="str">
        <f t="shared" si="0"/>
        <v>CTI</v>
      </c>
      <c r="C3" s="7" t="s">
        <v>592</v>
      </c>
      <c r="D3" s="7" t="s">
        <v>593</v>
      </c>
      <c r="E3" s="7"/>
      <c r="F3" s="7" t="s">
        <v>594</v>
      </c>
      <c r="G3" s="7" t="s">
        <v>294</v>
      </c>
      <c r="H3" s="7"/>
      <c r="I3" s="7" t="s">
        <v>595</v>
      </c>
      <c r="J3" s="9" t="s">
        <v>25</v>
      </c>
      <c r="K3" s="9" t="s">
        <v>26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25">
      <c r="A4" s="22" t="s">
        <v>596</v>
      </c>
      <c r="B4" s="7" t="str">
        <f t="shared" si="0"/>
        <v>BLU</v>
      </c>
      <c r="C4" s="7" t="s">
        <v>597</v>
      </c>
      <c r="D4" s="7" t="s">
        <v>598</v>
      </c>
      <c r="E4" s="7"/>
      <c r="F4" s="7" t="s">
        <v>599</v>
      </c>
      <c r="G4" s="7" t="s">
        <v>600</v>
      </c>
      <c r="H4" s="7"/>
      <c r="I4" s="7"/>
      <c r="J4" s="9" t="s">
        <v>25</v>
      </c>
      <c r="K4" s="9" t="s">
        <v>26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</sheetData>
  <dataValidations count="1">
    <dataValidation type="list" allowBlank="1" showErrorMessage="1" sqref="J2:K4" xr:uid="{00000000-0002-0000-0800-000000000000}">
      <formula1>"Yes,No"</formula1>
    </dataValidation>
  </dataValidations>
  <hyperlinks>
    <hyperlink ref="C2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14"/>
  <sheetViews>
    <sheetView workbookViewId="0"/>
  </sheetViews>
  <sheetFormatPr defaultColWidth="12.5703125" defaultRowHeight="15.75" customHeight="1" x14ac:dyDescent="0.2"/>
  <cols>
    <col min="1" max="1" width="19.140625" customWidth="1"/>
    <col min="2" max="2" width="6.28515625" customWidth="1"/>
    <col min="3" max="3" width="24.85546875" customWidth="1"/>
    <col min="4" max="4" width="15.42578125" customWidth="1"/>
    <col min="5" max="5" width="9.85546875" customWidth="1"/>
    <col min="6" max="6" width="10.42578125" customWidth="1"/>
    <col min="7" max="7" width="8.85546875" customWidth="1"/>
    <col min="8" max="8" width="9.28515625" customWidth="1"/>
    <col min="9" max="9" width="19.42578125" customWidth="1"/>
    <col min="10" max="10" width="5" customWidth="1"/>
    <col min="11" max="11" width="5.85546875" customWidth="1"/>
    <col min="12" max="12" width="7.28515625" customWidth="1"/>
  </cols>
  <sheetData>
    <row r="1" spans="1:30" ht="15.75" customHeight="1" x14ac:dyDescent="0.25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211</v>
      </c>
      <c r="J1" s="34" t="s">
        <v>9</v>
      </c>
      <c r="K1" s="34" t="s">
        <v>10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.75" customHeight="1" x14ac:dyDescent="0.25">
      <c r="A2" s="5" t="s">
        <v>601</v>
      </c>
      <c r="B2" s="7" t="str">
        <f t="shared" ref="B2:B9" si="0">UPPER(LEFT(A2, 3))</f>
        <v>UNI</v>
      </c>
      <c r="C2" s="7" t="s">
        <v>602</v>
      </c>
      <c r="D2" s="7" t="s">
        <v>603</v>
      </c>
      <c r="E2" s="7"/>
      <c r="F2" s="7" t="s">
        <v>604</v>
      </c>
      <c r="G2" s="7" t="s">
        <v>605</v>
      </c>
      <c r="H2" s="7" t="s">
        <v>606</v>
      </c>
      <c r="I2" s="7" t="s">
        <v>607</v>
      </c>
      <c r="J2" s="9" t="s">
        <v>25</v>
      </c>
      <c r="K2" s="9" t="s">
        <v>26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25">
      <c r="A3" s="5" t="s">
        <v>608</v>
      </c>
      <c r="B3" s="7" t="str">
        <f t="shared" si="0"/>
        <v>TAG</v>
      </c>
      <c r="C3" s="7" t="s">
        <v>609</v>
      </c>
      <c r="D3" s="7" t="s">
        <v>610</v>
      </c>
      <c r="E3" s="7"/>
      <c r="F3" s="7" t="s">
        <v>611</v>
      </c>
      <c r="G3" s="7" t="s">
        <v>612</v>
      </c>
      <c r="H3" s="7" t="s">
        <v>613</v>
      </c>
      <c r="I3" s="7" t="s">
        <v>614</v>
      </c>
      <c r="J3" s="9" t="s">
        <v>25</v>
      </c>
      <c r="K3" s="9" t="s">
        <v>26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25">
      <c r="A4" s="5" t="s">
        <v>615</v>
      </c>
      <c r="B4" s="7" t="str">
        <f t="shared" si="0"/>
        <v>VEC</v>
      </c>
      <c r="C4" s="7" t="s">
        <v>616</v>
      </c>
      <c r="D4" s="7" t="s">
        <v>617</v>
      </c>
      <c r="E4" s="7"/>
      <c r="F4" s="7" t="s">
        <v>618</v>
      </c>
      <c r="G4" s="7" t="s">
        <v>619</v>
      </c>
      <c r="H4" s="7" t="s">
        <v>620</v>
      </c>
      <c r="I4" s="7" t="s">
        <v>621</v>
      </c>
      <c r="J4" s="9" t="s">
        <v>25</v>
      </c>
      <c r="K4" s="9" t="s">
        <v>26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x14ac:dyDescent="0.25">
      <c r="A5" s="5" t="s">
        <v>622</v>
      </c>
      <c r="B5" s="7" t="str">
        <f t="shared" si="0"/>
        <v>CAS</v>
      </c>
      <c r="C5" s="7" t="s">
        <v>623</v>
      </c>
      <c r="D5" s="7" t="s">
        <v>624</v>
      </c>
      <c r="E5" s="7"/>
      <c r="F5" s="7" t="s">
        <v>625</v>
      </c>
      <c r="G5" s="7" t="s">
        <v>626</v>
      </c>
      <c r="H5" s="7" t="s">
        <v>627</v>
      </c>
      <c r="I5" s="7"/>
      <c r="J5" s="9" t="s">
        <v>25</v>
      </c>
      <c r="K5" s="9" t="s">
        <v>26</v>
      </c>
    </row>
    <row r="6" spans="1:30" ht="15.75" customHeight="1" x14ac:dyDescent="0.25">
      <c r="A6" s="5" t="s">
        <v>628</v>
      </c>
      <c r="B6" s="7" t="str">
        <f t="shared" si="0"/>
        <v>GRU</v>
      </c>
      <c r="C6" s="7" t="s">
        <v>629</v>
      </c>
      <c r="D6" s="7" t="s">
        <v>630</v>
      </c>
      <c r="E6" s="7"/>
      <c r="F6" s="7" t="s">
        <v>631</v>
      </c>
      <c r="G6" s="7" t="s">
        <v>632</v>
      </c>
      <c r="H6" s="7" t="s">
        <v>633</v>
      </c>
      <c r="I6" s="7" t="s">
        <v>634</v>
      </c>
      <c r="J6" s="9" t="s">
        <v>25</v>
      </c>
      <c r="K6" s="9" t="s">
        <v>26</v>
      </c>
    </row>
    <row r="7" spans="1:30" ht="15.75" customHeight="1" x14ac:dyDescent="0.25">
      <c r="A7" s="5" t="s">
        <v>635</v>
      </c>
      <c r="B7" s="7" t="str">
        <f t="shared" si="0"/>
        <v>WOR</v>
      </c>
      <c r="C7" s="7" t="s">
        <v>636</v>
      </c>
      <c r="D7" s="7" t="s">
        <v>637</v>
      </c>
      <c r="E7" s="7"/>
      <c r="F7" s="7" t="s">
        <v>638</v>
      </c>
      <c r="G7" s="7" t="s">
        <v>639</v>
      </c>
      <c r="H7" s="7" t="s">
        <v>640</v>
      </c>
      <c r="I7" s="7" t="s">
        <v>641</v>
      </c>
      <c r="J7" s="9" t="s">
        <v>25</v>
      </c>
      <c r="K7" s="9" t="s">
        <v>26</v>
      </c>
    </row>
    <row r="8" spans="1:30" ht="15.75" customHeight="1" x14ac:dyDescent="0.25">
      <c r="A8" s="5" t="s">
        <v>642</v>
      </c>
      <c r="B8" s="7" t="str">
        <f t="shared" si="0"/>
        <v>ORM</v>
      </c>
      <c r="C8" s="7" t="s">
        <v>643</v>
      </c>
      <c r="D8" s="7" t="s">
        <v>644</v>
      </c>
      <c r="E8" s="7"/>
      <c r="F8" s="7" t="s">
        <v>645</v>
      </c>
      <c r="G8" s="7" t="s">
        <v>646</v>
      </c>
      <c r="H8" s="7" t="s">
        <v>647</v>
      </c>
      <c r="I8" s="7" t="s">
        <v>648</v>
      </c>
      <c r="J8" s="9" t="s">
        <v>25</v>
      </c>
      <c r="K8" s="9" t="s">
        <v>26</v>
      </c>
    </row>
    <row r="9" spans="1:30" ht="15.75" customHeight="1" x14ac:dyDescent="0.25">
      <c r="B9" s="7" t="str">
        <f t="shared" si="0"/>
        <v/>
      </c>
    </row>
    <row r="14" spans="1:30" x14ac:dyDescent="0.2">
      <c r="D14" s="37"/>
    </row>
  </sheetData>
  <dataValidations count="1">
    <dataValidation type="list" allowBlank="1" showErrorMessage="1" sqref="J2:K8" xr:uid="{00000000-0002-0000-0900-000000000000}">
      <formula1>"Yes,No"</formula1>
    </dataValidation>
  </dataValidations>
  <hyperlinks>
    <hyperlink ref="C3" r:id="rId1" xr:uid="{00000000-0004-0000-0900-000000000000}"/>
    <hyperlink ref="C4" r:id="rId2" xr:uid="{00000000-0004-0000-0900-000001000000}"/>
    <hyperlink ref="C7" r:id="rId3" xr:uid="{00000000-0004-0000-0900-00000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9"/>
  <sheetViews>
    <sheetView workbookViewId="0"/>
  </sheetViews>
  <sheetFormatPr defaultColWidth="12.5703125" defaultRowHeight="15.75" customHeight="1" x14ac:dyDescent="0.2"/>
  <cols>
    <col min="1" max="1" width="19.5703125" customWidth="1"/>
    <col min="2" max="2" width="6.28515625" customWidth="1"/>
    <col min="3" max="3" width="24.85546875" customWidth="1"/>
    <col min="4" max="4" width="15.85546875" customWidth="1"/>
    <col min="5" max="5" width="9.85546875" customWidth="1"/>
    <col min="6" max="6" width="10.42578125" customWidth="1"/>
    <col min="7" max="7" width="8.85546875" customWidth="1"/>
    <col min="8" max="8" width="10.42578125" customWidth="1"/>
    <col min="9" max="9" width="19.42578125" customWidth="1"/>
    <col min="10" max="10" width="5" customWidth="1"/>
    <col min="11" max="11" width="4.28515625" customWidth="1"/>
    <col min="12" max="12" width="7.28515625" customWidth="1"/>
  </cols>
  <sheetData>
    <row r="1" spans="1:30" ht="15.75" customHeight="1" x14ac:dyDescent="0.25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211</v>
      </c>
      <c r="J1" s="34" t="s">
        <v>9</v>
      </c>
      <c r="K1" s="34" t="s">
        <v>10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.75" customHeight="1" x14ac:dyDescent="0.25">
      <c r="A2" s="5" t="s">
        <v>649</v>
      </c>
      <c r="B2" s="7" t="str">
        <f t="shared" ref="B2:B9" si="0">UPPER(LEFT(A2, 3))</f>
        <v>KDZ</v>
      </c>
      <c r="C2" s="7" t="s">
        <v>650</v>
      </c>
      <c r="D2" s="7" t="s">
        <v>651</v>
      </c>
      <c r="E2" s="7"/>
      <c r="F2" s="7" t="s">
        <v>652</v>
      </c>
      <c r="G2" s="7" t="s">
        <v>653</v>
      </c>
      <c r="H2" s="7" t="s">
        <v>654</v>
      </c>
      <c r="I2" s="7"/>
      <c r="J2" s="9" t="s">
        <v>25</v>
      </c>
      <c r="K2" s="9" t="s">
        <v>26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25">
      <c r="A3" s="5" t="s">
        <v>655</v>
      </c>
      <c r="B3" s="7" t="str">
        <f t="shared" si="0"/>
        <v>SKY</v>
      </c>
      <c r="C3" s="7" t="s">
        <v>656</v>
      </c>
      <c r="D3" s="7" t="s">
        <v>657</v>
      </c>
      <c r="E3" s="7"/>
      <c r="F3" s="7" t="s">
        <v>182</v>
      </c>
      <c r="G3" s="7" t="s">
        <v>658</v>
      </c>
      <c r="H3" s="7" t="s">
        <v>654</v>
      </c>
      <c r="I3" s="7" t="s">
        <v>659</v>
      </c>
      <c r="J3" s="9" t="s">
        <v>25</v>
      </c>
      <c r="K3" s="9" t="s">
        <v>26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25">
      <c r="A4" s="5" t="s">
        <v>660</v>
      </c>
      <c r="B4" s="7" t="str">
        <f t="shared" si="0"/>
        <v xml:space="preserve">DL </v>
      </c>
      <c r="C4" s="7" t="s">
        <v>661</v>
      </c>
      <c r="D4" s="7" t="s">
        <v>662</v>
      </c>
      <c r="E4" s="7"/>
      <c r="F4" s="7" t="s">
        <v>663</v>
      </c>
      <c r="G4" s="7" t="s">
        <v>664</v>
      </c>
      <c r="H4" s="7"/>
      <c r="I4" s="7"/>
      <c r="J4" s="9" t="s">
        <v>25</v>
      </c>
      <c r="K4" s="9" t="s">
        <v>26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x14ac:dyDescent="0.25">
      <c r="A5" s="5" t="s">
        <v>665</v>
      </c>
      <c r="B5" s="7" t="str">
        <f t="shared" si="0"/>
        <v>ROT</v>
      </c>
      <c r="C5" s="7" t="s">
        <v>666</v>
      </c>
      <c r="D5" s="7" t="s">
        <v>667</v>
      </c>
      <c r="E5" s="7"/>
      <c r="F5" s="7" t="s">
        <v>668</v>
      </c>
      <c r="G5" s="7" t="s">
        <v>669</v>
      </c>
      <c r="H5" s="7" t="s">
        <v>670</v>
      </c>
      <c r="I5" s="7"/>
      <c r="J5" s="9" t="s">
        <v>25</v>
      </c>
      <c r="K5" s="9" t="s">
        <v>26</v>
      </c>
      <c r="L5" s="7"/>
    </row>
    <row r="6" spans="1:30" ht="15.75" customHeight="1" x14ac:dyDescent="0.25">
      <c r="A6" s="5" t="s">
        <v>671</v>
      </c>
      <c r="B6" s="7" t="str">
        <f t="shared" si="0"/>
        <v>DUT</v>
      </c>
      <c r="C6" s="7" t="s">
        <v>672</v>
      </c>
      <c r="D6" s="7" t="s">
        <v>673</v>
      </c>
      <c r="E6" s="7"/>
      <c r="F6" s="7" t="s">
        <v>638</v>
      </c>
      <c r="G6" s="7" t="s">
        <v>674</v>
      </c>
      <c r="H6" s="7" t="s">
        <v>675</v>
      </c>
      <c r="I6" s="7" t="s">
        <v>676</v>
      </c>
      <c r="J6" s="9" t="s">
        <v>25</v>
      </c>
      <c r="K6" s="9" t="s">
        <v>26</v>
      </c>
      <c r="L6" s="7"/>
    </row>
    <row r="7" spans="1:30" ht="15.75" customHeight="1" x14ac:dyDescent="0.25">
      <c r="A7" s="5" t="s">
        <v>677</v>
      </c>
      <c r="B7" s="7" t="str">
        <f t="shared" si="0"/>
        <v>CLE</v>
      </c>
      <c r="C7" s="7" t="s">
        <v>678</v>
      </c>
      <c r="D7" s="7" t="s">
        <v>679</v>
      </c>
      <c r="E7" s="7"/>
      <c r="F7" s="7" t="s">
        <v>680</v>
      </c>
      <c r="G7" s="7" t="s">
        <v>681</v>
      </c>
      <c r="H7" s="7" t="s">
        <v>670</v>
      </c>
      <c r="I7" s="7" t="s">
        <v>682</v>
      </c>
      <c r="J7" s="9" t="s">
        <v>25</v>
      </c>
      <c r="K7" s="9" t="s">
        <v>26</v>
      </c>
      <c r="L7" s="7"/>
    </row>
    <row r="8" spans="1:30" ht="15.75" customHeight="1" x14ac:dyDescent="0.25">
      <c r="A8" s="5" t="s">
        <v>683</v>
      </c>
      <c r="B8" s="7" t="str">
        <f t="shared" si="0"/>
        <v>SHA</v>
      </c>
      <c r="C8" s="7" t="s">
        <v>684</v>
      </c>
      <c r="D8" s="7">
        <v>31653321095</v>
      </c>
      <c r="E8" s="7"/>
      <c r="F8" s="7" t="s">
        <v>685</v>
      </c>
      <c r="G8" s="7" t="s">
        <v>686</v>
      </c>
      <c r="H8" s="7" t="s">
        <v>687</v>
      </c>
      <c r="I8" s="7"/>
      <c r="J8" s="9" t="s">
        <v>25</v>
      </c>
      <c r="K8" s="9" t="s">
        <v>26</v>
      </c>
      <c r="L8" s="7"/>
    </row>
    <row r="9" spans="1:30" ht="15.75" customHeight="1" x14ac:dyDescent="0.25">
      <c r="A9" s="5" t="s">
        <v>688</v>
      </c>
      <c r="B9" s="7" t="str">
        <f t="shared" si="0"/>
        <v>GD-</v>
      </c>
      <c r="C9" s="7" t="s">
        <v>689</v>
      </c>
      <c r="D9" s="7" t="s">
        <v>690</v>
      </c>
      <c r="E9" s="7"/>
      <c r="F9" s="7" t="s">
        <v>691</v>
      </c>
      <c r="G9" s="7" t="s">
        <v>692</v>
      </c>
      <c r="H9" s="7" t="s">
        <v>654</v>
      </c>
      <c r="I9" s="7" t="s">
        <v>693</v>
      </c>
      <c r="J9" s="9" t="s">
        <v>25</v>
      </c>
      <c r="K9" s="9" t="s">
        <v>26</v>
      </c>
      <c r="L9" s="7"/>
    </row>
  </sheetData>
  <dataValidations count="1">
    <dataValidation type="list" allowBlank="1" showErrorMessage="1" sqref="J2:K9" xr:uid="{00000000-0002-0000-0A00-000000000000}">
      <formula1>"Yes,No"</formula1>
    </dataValidation>
  </dataValidations>
  <hyperlinks>
    <hyperlink ref="C4" r:id="rId1" xr:uid="{00000000-0004-0000-0A00-000000000000}"/>
    <hyperlink ref="C5" r:id="rId2" xr:uid="{00000000-0004-0000-0A00-000001000000}"/>
    <hyperlink ref="C6" r:id="rId3" xr:uid="{00000000-0004-0000-0A00-000002000000}"/>
    <hyperlink ref="C7" r:id="rId4" xr:uid="{00000000-0004-0000-0A00-000003000000}"/>
    <hyperlink ref="C9" r:id="rId5" xr:uid="{00000000-0004-0000-0A00-000004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5"/>
  <sheetViews>
    <sheetView topLeftCell="D1" workbookViewId="0">
      <selection activeCell="E13" sqref="E13"/>
    </sheetView>
  </sheetViews>
  <sheetFormatPr defaultColWidth="12.5703125" defaultRowHeight="15.75" customHeight="1" x14ac:dyDescent="0.2"/>
  <cols>
    <col min="1" max="1" width="36.28515625" bestFit="1" customWidth="1"/>
    <col min="2" max="2" width="7.28515625" bestFit="1" customWidth="1"/>
    <col min="3" max="3" width="25.85546875" bestFit="1" customWidth="1"/>
    <col min="4" max="4" width="14.42578125" bestFit="1" customWidth="1"/>
    <col min="5" max="5" width="11.140625" bestFit="1" customWidth="1"/>
    <col min="6" max="6" width="11.85546875" bestFit="1" customWidth="1"/>
    <col min="7" max="7" width="10" bestFit="1" customWidth="1"/>
    <col min="8" max="8" width="8" bestFit="1" customWidth="1"/>
    <col min="9" max="9" width="18.140625" bestFit="1" customWidth="1"/>
    <col min="10" max="10" width="5.5703125" bestFit="1" customWidth="1"/>
    <col min="11" max="11" width="4.85546875" bestFit="1" customWidth="1"/>
    <col min="12" max="12" width="8.28515625" bestFit="1" customWidth="1"/>
    <col min="13" max="13" width="20.42578125" bestFit="1" customWidth="1"/>
    <col min="14" max="14" width="20.85546875" bestFit="1" customWidth="1"/>
    <col min="15" max="15" width="19.7109375" bestFit="1" customWidth="1"/>
    <col min="16" max="16" width="25.140625" bestFit="1" customWidth="1"/>
    <col min="17" max="17" width="22.85546875" bestFit="1" customWidth="1"/>
  </cols>
  <sheetData>
    <row r="1" spans="1:30" ht="15.75" customHeight="1" x14ac:dyDescent="0.25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211</v>
      </c>
      <c r="J1" s="34" t="s">
        <v>9</v>
      </c>
      <c r="K1" s="34" t="s">
        <v>10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.75" customHeight="1" x14ac:dyDescent="0.25">
      <c r="A2" s="5" t="s">
        <v>694</v>
      </c>
      <c r="B2" s="7" t="str">
        <f t="shared" ref="B2:B5" si="0">UPPER(LEFT(A2, 3))</f>
        <v>PGS</v>
      </c>
      <c r="C2" s="7" t="s">
        <v>695</v>
      </c>
      <c r="D2" s="7" t="s">
        <v>696</v>
      </c>
      <c r="E2" s="7"/>
      <c r="F2" s="7" t="s">
        <v>697</v>
      </c>
      <c r="G2" s="7"/>
      <c r="H2" s="7" t="s">
        <v>698</v>
      </c>
      <c r="I2" s="7" t="s">
        <v>699</v>
      </c>
      <c r="J2" s="9" t="s">
        <v>25</v>
      </c>
      <c r="K2" s="9" t="s">
        <v>26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25">
      <c r="A3" s="5" t="s">
        <v>700</v>
      </c>
      <c r="B3" s="7" t="str">
        <f t="shared" si="0"/>
        <v>AWO</v>
      </c>
      <c r="C3" s="7" t="s">
        <v>701</v>
      </c>
      <c r="D3" s="7" t="s">
        <v>702</v>
      </c>
      <c r="E3" s="7"/>
      <c r="F3" s="7" t="s">
        <v>703</v>
      </c>
      <c r="G3" s="7" t="s">
        <v>704</v>
      </c>
      <c r="H3" s="7" t="s">
        <v>698</v>
      </c>
      <c r="I3" s="7" t="s">
        <v>705</v>
      </c>
      <c r="J3" s="9" t="s">
        <v>25</v>
      </c>
      <c r="K3" s="9" t="s">
        <v>26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25">
      <c r="A4" s="5" t="s">
        <v>706</v>
      </c>
      <c r="B4" s="7" t="str">
        <f t="shared" si="0"/>
        <v>BOR</v>
      </c>
      <c r="C4" s="7" t="s">
        <v>707</v>
      </c>
      <c r="D4" s="7" t="s">
        <v>708</v>
      </c>
      <c r="E4" s="7"/>
      <c r="F4" s="7" t="s">
        <v>709</v>
      </c>
      <c r="G4" s="7" t="s">
        <v>710</v>
      </c>
      <c r="H4" s="7" t="s">
        <v>698</v>
      </c>
      <c r="I4" s="7" t="s">
        <v>711</v>
      </c>
      <c r="J4" s="9" t="s">
        <v>25</v>
      </c>
      <c r="K4" s="9" t="s">
        <v>26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x14ac:dyDescent="0.25">
      <c r="A5" s="5" t="s">
        <v>712</v>
      </c>
      <c r="B5" s="7" t="str">
        <f t="shared" si="0"/>
        <v>PAX</v>
      </c>
      <c r="C5" s="7" t="s">
        <v>713</v>
      </c>
      <c r="D5" s="7" t="s">
        <v>714</v>
      </c>
      <c r="E5" s="7"/>
      <c r="F5" s="7" t="s">
        <v>715</v>
      </c>
      <c r="G5" s="7" t="s">
        <v>704</v>
      </c>
      <c r="H5" s="7" t="s">
        <v>716</v>
      </c>
      <c r="I5" s="7" t="s">
        <v>717</v>
      </c>
      <c r="J5" s="9" t="s">
        <v>25</v>
      </c>
      <c r="K5" s="9" t="s">
        <v>26</v>
      </c>
    </row>
  </sheetData>
  <dataValidations count="1">
    <dataValidation type="list" allowBlank="1" showErrorMessage="1" sqref="J2:K5" xr:uid="{00000000-0002-0000-0B00-000000000000}">
      <formula1>"Yes,No"</formula1>
    </dataValidation>
  </dataValidations>
  <hyperlinks>
    <hyperlink ref="C3" r:id="rId1" xr:uid="{00000000-0004-0000-0B00-000000000000}"/>
    <hyperlink ref="C4" r:id="rId2" xr:uid="{00000000-0004-0000-0B00-000001000000}"/>
    <hyperlink ref="C5" r:id="rId3" xr:uid="{00000000-0004-0000-0B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China</vt:lpstr>
      <vt:lpstr>Thailand</vt:lpstr>
      <vt:lpstr>Malaysia</vt:lpstr>
      <vt:lpstr>USA</vt:lpstr>
      <vt:lpstr>Germany</vt:lpstr>
      <vt:lpstr>France</vt:lpstr>
      <vt:lpstr>Australia</vt:lpstr>
      <vt:lpstr>Japan</vt:lpstr>
      <vt:lpstr>Singapore</vt:lpstr>
      <vt:lpstr>Italy</vt:lpstr>
      <vt:lpstr>Netherland</vt:lpstr>
      <vt:lpstr>Korea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Saini</cp:lastModifiedBy>
  <dcterms:modified xsi:type="dcterms:W3CDTF">2026-03-27T13:49:37Z</dcterms:modified>
</cp:coreProperties>
</file>